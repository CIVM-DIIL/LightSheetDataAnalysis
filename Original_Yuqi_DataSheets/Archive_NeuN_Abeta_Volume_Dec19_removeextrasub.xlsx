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jh60/Dropbox/5XFAD_Phasei/Investigating_Yuqi_Data/"/>
    </mc:Choice>
  </mc:AlternateContent>
  <xr:revisionPtr revIDLastSave="0" documentId="8_{9B1916BD-531B-B144-97CD-58E21351BF89}" xr6:coauthVersionLast="47" xr6:coauthVersionMax="47" xr10:uidLastSave="{00000000-0000-0000-0000-000000000000}"/>
  <bookViews>
    <workbookView xWindow="0" yWindow="760" windowWidth="34560" windowHeight="20240" xr2:uid="{00000000-000D-0000-FFFF-FFFF00000000}"/>
  </bookViews>
  <sheets>
    <sheet name="Archive_NeuN_Abeta_Volume_Dec19" sheetId="1" r:id="rId1"/>
  </sheets>
  <definedNames>
    <definedName name="_xlnm._FilterDatabase" localSheetId="0" hidden="1">Archive_NeuN_Abeta_Volume_Dec19!$A$1:$T$353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Q182" i="1"/>
  <c r="R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Q189" i="1"/>
  <c r="R189" i="1"/>
  <c r="Q190" i="1"/>
  <c r="R190" i="1"/>
  <c r="Q191" i="1"/>
  <c r="R191" i="1"/>
  <c r="Q192" i="1"/>
  <c r="R192" i="1"/>
  <c r="Q193" i="1"/>
  <c r="R193" i="1"/>
  <c r="Q194" i="1"/>
  <c r="R194" i="1"/>
  <c r="Q195" i="1"/>
  <c r="R195" i="1"/>
  <c r="Q196" i="1"/>
  <c r="R196" i="1"/>
  <c r="Q197" i="1"/>
  <c r="R197" i="1"/>
  <c r="Q198" i="1"/>
  <c r="R198" i="1"/>
  <c r="Q199" i="1"/>
  <c r="R199" i="1"/>
  <c r="Q200" i="1"/>
  <c r="R200" i="1"/>
  <c r="Q201" i="1"/>
  <c r="R201" i="1"/>
  <c r="Q202" i="1"/>
  <c r="R202" i="1"/>
  <c r="Q203" i="1"/>
  <c r="R203" i="1"/>
  <c r="Q204" i="1"/>
  <c r="R204" i="1"/>
  <c r="Q205" i="1"/>
  <c r="R205" i="1"/>
  <c r="Q206" i="1"/>
  <c r="R206" i="1"/>
  <c r="Q207" i="1"/>
  <c r="R207" i="1"/>
  <c r="Q208" i="1"/>
  <c r="R208" i="1"/>
  <c r="Q209" i="1"/>
  <c r="R209" i="1"/>
  <c r="Q210" i="1"/>
  <c r="R210" i="1"/>
  <c r="Q211" i="1"/>
  <c r="R211" i="1"/>
  <c r="Q212" i="1"/>
  <c r="R212" i="1"/>
  <c r="Q213" i="1"/>
  <c r="R213" i="1"/>
  <c r="Q214" i="1"/>
  <c r="R214" i="1"/>
  <c r="Q215" i="1"/>
  <c r="R215" i="1"/>
  <c r="Q216" i="1"/>
  <c r="R216" i="1"/>
  <c r="Q217" i="1"/>
  <c r="R217" i="1"/>
  <c r="Q218" i="1"/>
  <c r="R218" i="1"/>
  <c r="Q219" i="1"/>
  <c r="R219" i="1"/>
  <c r="Q220" i="1"/>
  <c r="R220" i="1"/>
  <c r="Q221" i="1"/>
  <c r="R221" i="1"/>
  <c r="Q222" i="1"/>
  <c r="R222" i="1"/>
  <c r="Q223" i="1"/>
  <c r="R223" i="1"/>
  <c r="Q224" i="1"/>
  <c r="R224" i="1"/>
  <c r="Q225" i="1"/>
  <c r="R225" i="1"/>
  <c r="Q226" i="1"/>
  <c r="R226" i="1"/>
  <c r="Q227" i="1"/>
  <c r="R227" i="1"/>
  <c r="Q228" i="1"/>
  <c r="R228" i="1"/>
  <c r="Q229" i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Q239" i="1"/>
  <c r="R239" i="1"/>
  <c r="Q240" i="1"/>
  <c r="R240" i="1"/>
  <c r="Q241" i="1"/>
  <c r="R241" i="1"/>
  <c r="Q242" i="1"/>
  <c r="R242" i="1"/>
  <c r="Q243" i="1"/>
  <c r="R243" i="1"/>
  <c r="Q244" i="1"/>
  <c r="R244" i="1"/>
  <c r="Q245" i="1"/>
  <c r="R245" i="1"/>
  <c r="Q246" i="1"/>
  <c r="R246" i="1"/>
  <c r="Q247" i="1"/>
  <c r="R247" i="1"/>
  <c r="Q248" i="1"/>
  <c r="R248" i="1"/>
  <c r="Q249" i="1"/>
  <c r="R249" i="1"/>
  <c r="Q250" i="1"/>
  <c r="R250" i="1"/>
  <c r="Q251" i="1"/>
  <c r="R251" i="1"/>
  <c r="Q252" i="1"/>
  <c r="R252" i="1"/>
  <c r="Q253" i="1"/>
  <c r="R253" i="1"/>
  <c r="Q254" i="1"/>
  <c r="R254" i="1"/>
  <c r="Q255" i="1"/>
  <c r="R255" i="1"/>
  <c r="Q256" i="1"/>
  <c r="R256" i="1"/>
  <c r="Q257" i="1"/>
  <c r="R257" i="1"/>
  <c r="Q258" i="1"/>
  <c r="R258" i="1"/>
  <c r="Q259" i="1"/>
  <c r="R259" i="1"/>
  <c r="Q260" i="1"/>
  <c r="R260" i="1"/>
  <c r="Q261" i="1"/>
  <c r="R261" i="1"/>
  <c r="Q262" i="1"/>
  <c r="R262" i="1"/>
  <c r="Q263" i="1"/>
  <c r="R263" i="1"/>
  <c r="Q264" i="1"/>
  <c r="R264" i="1"/>
  <c r="Q265" i="1"/>
  <c r="R265" i="1"/>
  <c r="Q266" i="1"/>
  <c r="R266" i="1"/>
  <c r="Q267" i="1"/>
  <c r="R267" i="1"/>
  <c r="Q268" i="1"/>
  <c r="R268" i="1"/>
  <c r="Q269" i="1"/>
  <c r="R269" i="1"/>
  <c r="Q270" i="1"/>
  <c r="R270" i="1"/>
  <c r="Q271" i="1"/>
  <c r="R271" i="1"/>
  <c r="Q272" i="1"/>
  <c r="R272" i="1"/>
  <c r="Q273" i="1"/>
  <c r="R273" i="1"/>
  <c r="Q274" i="1"/>
  <c r="R274" i="1"/>
  <c r="Q275" i="1"/>
  <c r="R275" i="1"/>
  <c r="Q276" i="1"/>
  <c r="R276" i="1"/>
  <c r="Q277" i="1"/>
  <c r="R277" i="1"/>
  <c r="Q278" i="1"/>
  <c r="R278" i="1"/>
  <c r="Q279" i="1"/>
  <c r="R279" i="1"/>
  <c r="Q280" i="1"/>
  <c r="R280" i="1"/>
  <c r="Q281" i="1"/>
  <c r="R281" i="1"/>
  <c r="Q282" i="1"/>
  <c r="R282" i="1"/>
  <c r="Q283" i="1"/>
  <c r="R283" i="1"/>
  <c r="Q284" i="1"/>
  <c r="R284" i="1"/>
  <c r="Q285" i="1"/>
  <c r="R285" i="1"/>
  <c r="Q286" i="1"/>
  <c r="R286" i="1"/>
  <c r="Q287" i="1"/>
  <c r="R287" i="1"/>
  <c r="Q288" i="1"/>
  <c r="R288" i="1"/>
  <c r="Q289" i="1"/>
  <c r="R289" i="1"/>
  <c r="Q290" i="1"/>
  <c r="R290" i="1"/>
  <c r="Q291" i="1"/>
  <c r="R291" i="1"/>
  <c r="Q292" i="1"/>
  <c r="R292" i="1"/>
  <c r="Q293" i="1"/>
  <c r="R293" i="1"/>
  <c r="Q294" i="1"/>
  <c r="R294" i="1"/>
  <c r="Q295" i="1"/>
  <c r="R295" i="1"/>
  <c r="Q296" i="1"/>
  <c r="R296" i="1"/>
  <c r="Q297" i="1"/>
  <c r="R297" i="1"/>
  <c r="Q298" i="1"/>
  <c r="R298" i="1"/>
  <c r="Q299" i="1"/>
  <c r="R299" i="1"/>
  <c r="Q300" i="1"/>
  <c r="R300" i="1"/>
  <c r="Q301" i="1"/>
  <c r="R301" i="1"/>
  <c r="Q302" i="1"/>
  <c r="R302" i="1"/>
  <c r="Q303" i="1"/>
  <c r="R303" i="1"/>
  <c r="Q304" i="1"/>
  <c r="R304" i="1"/>
  <c r="Q305" i="1"/>
  <c r="R305" i="1"/>
  <c r="Q306" i="1"/>
  <c r="R306" i="1"/>
  <c r="Q307" i="1"/>
  <c r="R307" i="1"/>
  <c r="Q308" i="1"/>
  <c r="R308" i="1"/>
  <c r="Q309" i="1"/>
  <c r="R309" i="1"/>
  <c r="Q310" i="1"/>
  <c r="R310" i="1"/>
  <c r="Q311" i="1"/>
  <c r="R311" i="1"/>
  <c r="Q312" i="1"/>
  <c r="R312" i="1"/>
  <c r="Q313" i="1"/>
  <c r="R313" i="1"/>
  <c r="Q314" i="1"/>
  <c r="R314" i="1"/>
  <c r="Q315" i="1"/>
  <c r="R315" i="1"/>
  <c r="Q316" i="1"/>
  <c r="R316" i="1"/>
  <c r="Q317" i="1"/>
  <c r="R317" i="1"/>
  <c r="Q318" i="1"/>
  <c r="R318" i="1"/>
  <c r="Q319" i="1"/>
  <c r="R319" i="1"/>
  <c r="Q320" i="1"/>
  <c r="R320" i="1"/>
  <c r="Q321" i="1"/>
  <c r="R321" i="1"/>
  <c r="Q322" i="1"/>
  <c r="R322" i="1"/>
  <c r="Q323" i="1"/>
  <c r="R323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Q330" i="1"/>
  <c r="R330" i="1"/>
  <c r="Q331" i="1"/>
  <c r="R331" i="1"/>
  <c r="Q332" i="1"/>
  <c r="R332" i="1"/>
  <c r="Q333" i="1"/>
  <c r="R333" i="1"/>
  <c r="Q334" i="1"/>
  <c r="R334" i="1"/>
  <c r="Q335" i="1"/>
  <c r="R335" i="1"/>
  <c r="Q336" i="1"/>
  <c r="R336" i="1"/>
  <c r="Q337" i="1"/>
  <c r="R337" i="1"/>
  <c r="Q338" i="1"/>
  <c r="R338" i="1"/>
  <c r="Q339" i="1"/>
  <c r="R339" i="1"/>
  <c r="Q340" i="1"/>
  <c r="R340" i="1"/>
  <c r="Q341" i="1"/>
  <c r="R341" i="1"/>
  <c r="Q342" i="1"/>
  <c r="R342" i="1"/>
  <c r="Q343" i="1"/>
  <c r="R343" i="1"/>
  <c r="Q344" i="1"/>
  <c r="R344" i="1"/>
  <c r="Q345" i="1"/>
  <c r="R345" i="1"/>
  <c r="Q346" i="1"/>
  <c r="R346" i="1"/>
  <c r="Q347" i="1"/>
  <c r="R347" i="1"/>
  <c r="Q348" i="1"/>
  <c r="R348" i="1"/>
  <c r="Q349" i="1"/>
  <c r="R349" i="1"/>
  <c r="Q350" i="1"/>
  <c r="R350" i="1"/>
  <c r="Q351" i="1"/>
  <c r="R351" i="1"/>
  <c r="Q352" i="1"/>
  <c r="R352" i="1"/>
  <c r="Q353" i="1"/>
  <c r="R353" i="1"/>
  <c r="Q3" i="1"/>
  <c r="R3" i="1"/>
  <c r="R2" i="1"/>
  <c r="Q2" i="1"/>
</calcChain>
</file>

<file path=xl/sharedStrings.xml><?xml version="1.0" encoding="utf-8"?>
<sst xmlns="http://schemas.openxmlformats.org/spreadsheetml/2006/main" count="2132" uniqueCount="64">
  <si>
    <t>Specimen</t>
  </si>
  <si>
    <t>220114-10_1</t>
  </si>
  <si>
    <t>220114-11_1</t>
  </si>
  <si>
    <t>220114-12_1</t>
  </si>
  <si>
    <t>220114-13_1</t>
  </si>
  <si>
    <t>220114-18_1</t>
  </si>
  <si>
    <t>220114-19_1</t>
  </si>
  <si>
    <t>220114-1_1</t>
  </si>
  <si>
    <t>220114-20_1</t>
  </si>
  <si>
    <t>220114-21_1</t>
  </si>
  <si>
    <t>220114-22_1</t>
  </si>
  <si>
    <t>220114-23_1</t>
  </si>
  <si>
    <t>220114-2_1</t>
  </si>
  <si>
    <t>220114-3_1</t>
  </si>
  <si>
    <t>220114-4_1</t>
  </si>
  <si>
    <t>220114-8_1</t>
  </si>
  <si>
    <t>220114-9_1</t>
  </si>
  <si>
    <t>Gene_condition</t>
  </si>
  <si>
    <t>Region</t>
  </si>
  <si>
    <t>Abeta_Mean</t>
  </si>
  <si>
    <t>Abeta_STD</t>
  </si>
  <si>
    <t>Structure</t>
  </si>
  <si>
    <t>SUB__Subiculum_left</t>
  </si>
  <si>
    <t>cst__corticospinal_tract_left</t>
  </si>
  <si>
    <t>CA3__CA3_of_hippocampus_left</t>
  </si>
  <si>
    <t>VCS__Visual_cortex_secondary_(extrastriate)_left</t>
  </si>
  <si>
    <t>AON__Anterior_olfactory_nucleus_left</t>
  </si>
  <si>
    <t>VCP__Visual_cortex_primary_left</t>
  </si>
  <si>
    <t>POT__Posterior_nucleus_of_the_thalamus_left</t>
  </si>
  <si>
    <t>BLA__Basolateral_amygdala_left</t>
  </si>
  <si>
    <t>cn7__Facial_motor_nucleus_cranial_nerve_VII_left</t>
  </si>
  <si>
    <t>LSN__Lateral_septal_nucleus_left</t>
  </si>
  <si>
    <t>EPF__Endopiriform_nucleus_left</t>
  </si>
  <si>
    <t>NAC__Nucleus_accumbens_left</t>
  </si>
  <si>
    <t>HGN__Hypoglossal_nucleus_left</t>
  </si>
  <si>
    <t>AVT__Anteroventral_thalamic_nucleus_left</t>
  </si>
  <si>
    <t>MGD__Medial_geniculate_nucleus_dorsal_left</t>
  </si>
  <si>
    <t>PFT__Parafascicular_thalamic_nucleus_left</t>
  </si>
  <si>
    <t>RED__Red_nucleus_left</t>
  </si>
  <si>
    <t>ACC__Anterior_cingulate_cortex_left</t>
  </si>
  <si>
    <t>CA1__CA1_of_hippocampus_left</t>
  </si>
  <si>
    <t>PIC__Piriform_cortex_left</t>
  </si>
  <si>
    <t>SUT__Subthalamic_nucleus_left</t>
  </si>
  <si>
    <t>mel__medial_lemniscus_left</t>
  </si>
  <si>
    <t>scanner</t>
  </si>
  <si>
    <t>M</t>
  </si>
  <si>
    <t>A</t>
  </si>
  <si>
    <t>volume_normalized</t>
  </si>
  <si>
    <t>strain</t>
  </si>
  <si>
    <t>BXD77</t>
  </si>
  <si>
    <t>sex</t>
  </si>
  <si>
    <t>F</t>
  </si>
  <si>
    <t>volume_mm3</t>
  </si>
  <si>
    <t>Tg</t>
  </si>
  <si>
    <t>nTg</t>
  </si>
  <si>
    <t>age</t>
  </si>
  <si>
    <t>n_Abeta</t>
  </si>
  <si>
    <t>n_NeuN</t>
  </si>
  <si>
    <t>NeuNDensity_Mean (*1000)</t>
  </si>
  <si>
    <t>NeuN_num_Mean</t>
  </si>
  <si>
    <t>NeuN_num_STD</t>
  </si>
  <si>
    <t>NeuNDensity_STD(*1000)</t>
  </si>
  <si>
    <t>Abeta_p-value(nominal group difference)</t>
  </si>
  <si>
    <t>NeuNDensity_p-value(nominal group difference)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</si>
</sst>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3"/>
  <sheetViews>
    <sheetView tabSelected="1" workbookViewId="0">
      <selection activeCell="I360" sqref="I360"/>
    </sheetView>
  </sheetViews>
  <sheetFormatPr baseColWidth="10" defaultColWidth="8.83203125" defaultRowHeight="15" x14ac:dyDescent="0.2"/>
  <cols>
    <col min="1" max="1" width="15" customWidth="1"/>
    <col min="3" max="3" width="14.6640625" customWidth="1"/>
    <col min="6" max="6" width="17.83203125" customWidth="1"/>
    <col min="7" max="7" width="19.1640625" customWidth="1"/>
    <col min="8" max="9" width="16.33203125" customWidth="1"/>
    <col min="10" max="10" width="16.83203125" customWidth="1"/>
    <col min="11" max="11" width="17" customWidth="1"/>
    <col min="12" max="13" width="16.5" customWidth="1"/>
    <col min="14" max="14" width="17.83203125" customWidth="1"/>
    <col min="15" max="15" width="18" customWidth="1"/>
    <col min="16" max="18" width="18.1640625" customWidth="1"/>
    <col min="19" max="19" width="14.33203125" customWidth="1"/>
    <col min="20" max="20" width="14" customWidth="1"/>
  </cols>
  <sheetData>
    <row r="1" spans="1:20" x14ac:dyDescent="0.2">
      <c r="A1" s="1" t="s">
        <v>0</v>
      </c>
      <c r="B1" s="1" t="s">
        <v>50</v>
      </c>
      <c r="C1" s="1" t="s">
        <v>17</v>
      </c>
      <c r="D1" s="1" t="s">
        <v>55</v>
      </c>
      <c r="E1" s="1" t="s">
        <v>18</v>
      </c>
      <c r="F1" s="1" t="s">
        <v>21</v>
      </c>
      <c r="G1" s="1" t="s">
        <v>19</v>
      </c>
      <c r="H1" s="1" t="s">
        <v>20</v>
      </c>
      <c r="I1" s="4" t="s">
        <v>56</v>
      </c>
      <c r="J1" s="1" t="s">
        <v>62</v>
      </c>
      <c r="K1" s="1" t="s">
        <v>58</v>
      </c>
      <c r="L1" s="1" t="s">
        <v>61</v>
      </c>
      <c r="M1" s="4" t="s">
        <v>57</v>
      </c>
      <c r="N1" s="1" t="s">
        <v>63</v>
      </c>
      <c r="O1" s="1" t="s">
        <v>52</v>
      </c>
      <c r="P1" s="1" t="s">
        <v>47</v>
      </c>
      <c r="Q1" s="4" t="s">
        <v>59</v>
      </c>
      <c r="R1" s="4" t="s">
        <v>60</v>
      </c>
      <c r="S1" s="1" t="s">
        <v>48</v>
      </c>
      <c r="T1" s="1" t="s">
        <v>44</v>
      </c>
    </row>
    <row r="2" spans="1:20" x14ac:dyDescent="0.2">
      <c r="A2" s="2" t="s">
        <v>1</v>
      </c>
      <c r="B2" s="2" t="s">
        <v>51</v>
      </c>
      <c r="C2" s="2" t="s">
        <v>53</v>
      </c>
      <c r="D2" s="3">
        <v>443</v>
      </c>
      <c r="E2" s="3">
        <v>4</v>
      </c>
      <c r="F2" s="2" t="s">
        <v>26</v>
      </c>
      <c r="G2" s="3">
        <v>6.6599999999999993E-2</v>
      </c>
      <c r="H2" s="3">
        <v>4.2913805082591627E-2</v>
      </c>
      <c r="I2" s="3">
        <v>30</v>
      </c>
      <c r="J2" s="3">
        <v>8.8426543400939233E-5</v>
      </c>
      <c r="K2" s="3">
        <v>108.86666666666666</v>
      </c>
      <c r="L2" s="3">
        <v>12.406270815823568</v>
      </c>
      <c r="M2" s="3">
        <v>30</v>
      </c>
      <c r="N2" s="3">
        <v>0.37056457180473501</v>
      </c>
      <c r="O2" s="3">
        <v>2.6896879999999999</v>
      </c>
      <c r="P2" s="3">
        <v>5.5387277323793302E-3</v>
      </c>
      <c r="Q2" s="3">
        <f>K2*1000*O2</f>
        <v>292817.36693333328</v>
      </c>
      <c r="R2" s="3">
        <f>L2*1000*O2</f>
        <v>33368.997738070859</v>
      </c>
      <c r="S2" s="2" t="s">
        <v>49</v>
      </c>
      <c r="T2" s="2" t="s">
        <v>45</v>
      </c>
    </row>
    <row r="3" spans="1:20" x14ac:dyDescent="0.2">
      <c r="A3" s="2" t="s">
        <v>2</v>
      </c>
      <c r="B3" s="2" t="s">
        <v>51</v>
      </c>
      <c r="C3" s="2" t="s">
        <v>54</v>
      </c>
      <c r="D3" s="3">
        <v>459</v>
      </c>
      <c r="E3" s="3">
        <v>4</v>
      </c>
      <c r="F3" s="2" t="s">
        <v>26</v>
      </c>
      <c r="G3" s="3">
        <v>3.3844444444444441E-2</v>
      </c>
      <c r="H3" s="3">
        <v>2.3141630489842219E-2</v>
      </c>
      <c r="I3" s="3">
        <v>30</v>
      </c>
      <c r="J3" s="3">
        <v>8.8426543400939233E-5</v>
      </c>
      <c r="K3" s="3">
        <v>116.26666666666668</v>
      </c>
      <c r="L3" s="3">
        <v>20.69127567089301</v>
      </c>
      <c r="M3" s="3">
        <v>30</v>
      </c>
      <c r="N3" s="3">
        <v>0.37056457180473501</v>
      </c>
      <c r="O3" s="3">
        <v>2.398266</v>
      </c>
      <c r="P3" s="3">
        <v>5.0524588831336002E-3</v>
      </c>
      <c r="Q3" s="3">
        <f>K3*1000*O3</f>
        <v>278838.39360000007</v>
      </c>
      <c r="R3" s="3">
        <f>L3*1000*O3</f>
        <v>49623.182938129896</v>
      </c>
      <c r="S3" s="2" t="s">
        <v>49</v>
      </c>
      <c r="T3" s="2" t="s">
        <v>45</v>
      </c>
    </row>
    <row r="4" spans="1:20" x14ac:dyDescent="0.2">
      <c r="A4" s="2" t="s">
        <v>3</v>
      </c>
      <c r="B4" s="2" t="s">
        <v>45</v>
      </c>
      <c r="C4" s="2" t="s">
        <v>54</v>
      </c>
      <c r="D4" s="3">
        <v>440</v>
      </c>
      <c r="E4" s="3">
        <v>4</v>
      </c>
      <c r="F4" s="2" t="s">
        <v>26</v>
      </c>
      <c r="G4" s="3">
        <v>3.3326666666666664E-2</v>
      </c>
      <c r="H4" s="3">
        <v>1.8399564004496292E-2</v>
      </c>
      <c r="I4" s="3">
        <v>30</v>
      </c>
      <c r="J4" s="3">
        <v>8.8426543400939233E-5</v>
      </c>
      <c r="K4" s="3">
        <v>122.76666666666668</v>
      </c>
      <c r="L4" s="3">
        <v>11.227001182664743</v>
      </c>
      <c r="M4" s="3">
        <v>30</v>
      </c>
      <c r="N4" s="3">
        <v>0.37056457180473501</v>
      </c>
      <c r="O4" s="3">
        <v>2.4335</v>
      </c>
      <c r="P4" s="3">
        <v>5.0490797384249997E-3</v>
      </c>
      <c r="Q4" s="3">
        <f t="shared" ref="Q4:Q67" si="0">K4*1000*O4</f>
        <v>298752.68333333341</v>
      </c>
      <c r="R4" s="3">
        <f t="shared" ref="R4:R67" si="1">L4*1000*O4</f>
        <v>27320.907378014654</v>
      </c>
      <c r="S4" s="2" t="s">
        <v>49</v>
      </c>
      <c r="T4" s="2" t="s">
        <v>45</v>
      </c>
    </row>
    <row r="5" spans="1:20" x14ac:dyDescent="0.2">
      <c r="A5" s="2" t="s">
        <v>4</v>
      </c>
      <c r="B5" s="2" t="s">
        <v>45</v>
      </c>
      <c r="C5" s="2" t="s">
        <v>53</v>
      </c>
      <c r="D5" s="3">
        <v>440</v>
      </c>
      <c r="E5" s="3">
        <v>4</v>
      </c>
      <c r="F5" s="2" t="s">
        <v>26</v>
      </c>
      <c r="G5" s="3">
        <v>7.3616666666666664E-2</v>
      </c>
      <c r="H5" s="3">
        <v>4.2314103900341418E-2</v>
      </c>
      <c r="I5" s="3">
        <v>30</v>
      </c>
      <c r="J5" s="3">
        <v>8.8426543400939233E-5</v>
      </c>
      <c r="K5" s="3">
        <v>111.2</v>
      </c>
      <c r="L5" s="3">
        <v>14.889369809811742</v>
      </c>
      <c r="M5" s="3">
        <v>30</v>
      </c>
      <c r="N5" s="3">
        <v>0.37056457180473501</v>
      </c>
      <c r="O5" s="3">
        <v>2.5693440000000001</v>
      </c>
      <c r="P5" s="3">
        <v>5.4324919897972297E-3</v>
      </c>
      <c r="Q5" s="3">
        <f t="shared" si="0"/>
        <v>285711.0528</v>
      </c>
      <c r="R5" s="3">
        <f t="shared" si="1"/>
        <v>38255.91298462094</v>
      </c>
      <c r="S5" s="2" t="s">
        <v>49</v>
      </c>
      <c r="T5" s="2" t="s">
        <v>45</v>
      </c>
    </row>
    <row r="6" spans="1:20" x14ac:dyDescent="0.2">
      <c r="A6" s="2" t="s">
        <v>5</v>
      </c>
      <c r="B6" s="2" t="s">
        <v>51</v>
      </c>
      <c r="C6" s="2" t="s">
        <v>53</v>
      </c>
      <c r="D6" s="3">
        <v>459</v>
      </c>
      <c r="E6" s="3">
        <v>4</v>
      </c>
      <c r="F6" s="2" t="s">
        <v>26</v>
      </c>
      <c r="G6" s="3">
        <v>5.772E-2</v>
      </c>
      <c r="H6" s="3">
        <v>4.8124322332891087E-2</v>
      </c>
      <c r="I6" s="3">
        <v>30</v>
      </c>
      <c r="J6" s="3">
        <v>8.8426543400939233E-5</v>
      </c>
      <c r="K6" s="3">
        <v>83.266666666666666</v>
      </c>
      <c r="L6" s="3">
        <v>32.604634980662212</v>
      </c>
      <c r="M6" s="3">
        <v>30</v>
      </c>
      <c r="N6" s="3">
        <v>0.37056457180473501</v>
      </c>
      <c r="O6" s="3">
        <v>2.572641</v>
      </c>
      <c r="P6" s="3">
        <v>5.3304877949172597E-3</v>
      </c>
      <c r="Q6" s="3">
        <f t="shared" si="0"/>
        <v>214215.24060000002</v>
      </c>
      <c r="R6" s="3">
        <f t="shared" si="1"/>
        <v>83880.020741285814</v>
      </c>
      <c r="S6" s="2" t="s">
        <v>49</v>
      </c>
      <c r="T6" s="2" t="s">
        <v>45</v>
      </c>
    </row>
    <row r="7" spans="1:20" x14ac:dyDescent="0.2">
      <c r="A7" s="2" t="s">
        <v>6</v>
      </c>
      <c r="B7" s="2" t="s">
        <v>45</v>
      </c>
      <c r="C7" s="2" t="s">
        <v>54</v>
      </c>
      <c r="D7" s="3">
        <v>446</v>
      </c>
      <c r="E7" s="3">
        <v>4</v>
      </c>
      <c r="F7" s="2" t="s">
        <v>26</v>
      </c>
      <c r="G7" s="3">
        <v>2.921E-2</v>
      </c>
      <c r="H7" s="3">
        <v>1.5777311769330879E-2</v>
      </c>
      <c r="I7" s="3">
        <v>30</v>
      </c>
      <c r="J7" s="3">
        <v>8.8426543400939233E-5</v>
      </c>
      <c r="K7" s="3">
        <v>111.9</v>
      </c>
      <c r="L7" s="3">
        <v>11.6428805141454</v>
      </c>
      <c r="M7" s="3">
        <v>30</v>
      </c>
      <c r="N7" s="3">
        <v>0.37056457180473501</v>
      </c>
      <c r="O7" s="3">
        <v>2.374781</v>
      </c>
      <c r="P7" s="3">
        <v>4.9715054440198003E-3</v>
      </c>
      <c r="Q7" s="3">
        <f t="shared" si="0"/>
        <v>265737.9939</v>
      </c>
      <c r="R7" s="3">
        <f t="shared" si="1"/>
        <v>27649.291430262725</v>
      </c>
      <c r="S7" s="2" t="s">
        <v>49</v>
      </c>
      <c r="T7" s="2" t="s">
        <v>45</v>
      </c>
    </row>
    <row r="8" spans="1:20" x14ac:dyDescent="0.2">
      <c r="A8" s="2" t="s">
        <v>7</v>
      </c>
      <c r="B8" s="2" t="s">
        <v>51</v>
      </c>
      <c r="C8" s="2" t="s">
        <v>53</v>
      </c>
      <c r="D8" s="3">
        <v>416</v>
      </c>
      <c r="E8" s="3">
        <v>4</v>
      </c>
      <c r="F8" s="2" t="s">
        <v>26</v>
      </c>
      <c r="G8" s="3">
        <v>6.0366666666666673E-2</v>
      </c>
      <c r="H8" s="3">
        <v>6.4269325671133526E-2</v>
      </c>
      <c r="I8" s="3">
        <v>30</v>
      </c>
      <c r="J8" s="3">
        <v>8.8426543400939233E-5</v>
      </c>
      <c r="K8" s="3">
        <v>114.83333333333331</v>
      </c>
      <c r="L8" s="3">
        <v>14.503064810200945</v>
      </c>
      <c r="M8" s="3">
        <v>30</v>
      </c>
      <c r="N8" s="3">
        <v>0.37056457180473501</v>
      </c>
      <c r="O8" s="3">
        <v>2.7760940000000001</v>
      </c>
      <c r="P8" s="3">
        <v>5.63818112341138E-3</v>
      </c>
      <c r="Q8" s="3">
        <f t="shared" si="0"/>
        <v>318788.12766666664</v>
      </c>
      <c r="R8" s="3">
        <f t="shared" si="1"/>
        <v>40261.871201209986</v>
      </c>
      <c r="S8" s="2" t="s">
        <v>49</v>
      </c>
      <c r="T8" s="2" t="s">
        <v>46</v>
      </c>
    </row>
    <row r="9" spans="1:20" x14ac:dyDescent="0.2">
      <c r="A9" s="2" t="s">
        <v>8</v>
      </c>
      <c r="B9" s="2" t="s">
        <v>45</v>
      </c>
      <c r="C9" s="2" t="s">
        <v>54</v>
      </c>
      <c r="D9" s="3">
        <v>494</v>
      </c>
      <c r="E9" s="3">
        <v>4</v>
      </c>
      <c r="F9" s="2" t="s">
        <v>26</v>
      </c>
      <c r="G9" s="3">
        <v>2.6423333333333333E-2</v>
      </c>
      <c r="H9" s="3">
        <v>1.0702762364091907E-2</v>
      </c>
      <c r="I9" s="3">
        <v>30</v>
      </c>
      <c r="J9" s="3">
        <v>8.8426543400939233E-5</v>
      </c>
      <c r="K9" s="3">
        <v>114.1</v>
      </c>
      <c r="L9" s="3">
        <v>14.55186127842987</v>
      </c>
      <c r="M9" s="3">
        <v>30</v>
      </c>
      <c r="N9" s="3">
        <v>0.37056457180473501</v>
      </c>
      <c r="O9" s="3">
        <v>2.4463590000000002</v>
      </c>
      <c r="P9" s="3">
        <v>5.0669145827128602E-3</v>
      </c>
      <c r="Q9" s="3">
        <f t="shared" si="0"/>
        <v>279129.56190000003</v>
      </c>
      <c r="R9" s="3">
        <f t="shared" si="1"/>
        <v>35599.076805238423</v>
      </c>
      <c r="S9" s="2" t="s">
        <v>49</v>
      </c>
      <c r="T9" s="2" t="s">
        <v>45</v>
      </c>
    </row>
    <row r="10" spans="1:20" x14ac:dyDescent="0.2">
      <c r="A10" s="2" t="s">
        <v>9</v>
      </c>
      <c r="B10" s="2" t="s">
        <v>51</v>
      </c>
      <c r="C10" s="2" t="s">
        <v>53</v>
      </c>
      <c r="D10" s="3">
        <v>480</v>
      </c>
      <c r="E10" s="3">
        <v>4</v>
      </c>
      <c r="F10" s="2" t="s">
        <v>26</v>
      </c>
      <c r="G10" s="3">
        <v>5.6429999999999994E-2</v>
      </c>
      <c r="H10" s="3">
        <v>5.2090601519531973E-2</v>
      </c>
      <c r="I10" s="3">
        <v>30</v>
      </c>
      <c r="J10" s="3">
        <v>8.8426543400939233E-5</v>
      </c>
      <c r="K10" s="3">
        <v>89.933333333333337</v>
      </c>
      <c r="L10" s="3">
        <v>22.521002543305119</v>
      </c>
      <c r="M10" s="3">
        <v>30</v>
      </c>
      <c r="N10" s="3">
        <v>0.37056457180473501</v>
      </c>
      <c r="O10" s="3">
        <v>2.6778749999999998</v>
      </c>
      <c r="P10" s="3">
        <v>5.6329703459120301E-3</v>
      </c>
      <c r="Q10" s="3">
        <f t="shared" si="0"/>
        <v>240830.22500000001</v>
      </c>
      <c r="R10" s="3">
        <f t="shared" si="1"/>
        <v>60308.429685653195</v>
      </c>
      <c r="S10" s="2" t="s">
        <v>49</v>
      </c>
      <c r="T10" s="2" t="s">
        <v>45</v>
      </c>
    </row>
    <row r="11" spans="1:20" x14ac:dyDescent="0.2">
      <c r="A11" s="2" t="s">
        <v>10</v>
      </c>
      <c r="B11" s="2" t="s">
        <v>45</v>
      </c>
      <c r="C11" s="2" t="s">
        <v>54</v>
      </c>
      <c r="D11" s="3">
        <v>480</v>
      </c>
      <c r="E11" s="3">
        <v>4</v>
      </c>
      <c r="F11" s="2" t="s">
        <v>26</v>
      </c>
      <c r="G11" s="3">
        <v>2.7792592592592594E-2</v>
      </c>
      <c r="H11" s="3">
        <v>2.9322269705564594E-2</v>
      </c>
      <c r="I11" s="3">
        <v>30</v>
      </c>
      <c r="J11" s="3">
        <v>8.8426543400939233E-5</v>
      </c>
      <c r="K11" s="3">
        <v>111</v>
      </c>
      <c r="L11" s="3">
        <v>20.855055342370427</v>
      </c>
      <c r="M11" s="3">
        <v>30</v>
      </c>
      <c r="N11" s="3">
        <v>0.37056457180473501</v>
      </c>
      <c r="O11" s="3">
        <v>1.911578</v>
      </c>
      <c r="P11" s="3">
        <v>4.1443053837207297E-3</v>
      </c>
      <c r="Q11" s="3">
        <f t="shared" si="0"/>
        <v>212185.158</v>
      </c>
      <c r="R11" s="3">
        <f t="shared" si="1"/>
        <v>39866.064981257776</v>
      </c>
      <c r="S11" s="2" t="s">
        <v>49</v>
      </c>
      <c r="T11" s="2" t="s">
        <v>45</v>
      </c>
    </row>
    <row r="12" spans="1:20" x14ac:dyDescent="0.2">
      <c r="A12" s="2" t="s">
        <v>11</v>
      </c>
      <c r="B12" s="2" t="s">
        <v>45</v>
      </c>
      <c r="C12" s="2" t="s">
        <v>53</v>
      </c>
      <c r="D12" s="3">
        <v>480</v>
      </c>
      <c r="E12" s="3">
        <v>4</v>
      </c>
      <c r="F12" s="2" t="s">
        <v>26</v>
      </c>
      <c r="G12" s="3">
        <v>9.8893333333333305E-2</v>
      </c>
      <c r="H12" s="3">
        <v>4.6306521738903643E-2</v>
      </c>
      <c r="I12" s="3">
        <v>30</v>
      </c>
      <c r="J12" s="3">
        <v>8.8426543400939233E-5</v>
      </c>
      <c r="K12" s="3">
        <v>112.56666666666666</v>
      </c>
      <c r="L12" s="3">
        <v>12.384623082229384</v>
      </c>
      <c r="M12" s="3">
        <v>30</v>
      </c>
      <c r="N12" s="3">
        <v>0.37056457180473501</v>
      </c>
      <c r="O12" s="3">
        <v>2.4946100000000002</v>
      </c>
      <c r="P12" s="3">
        <v>5.3893415147913499E-3</v>
      </c>
      <c r="Q12" s="3">
        <f t="shared" si="0"/>
        <v>280809.93233333336</v>
      </c>
      <c r="R12" s="3">
        <f t="shared" si="1"/>
        <v>30894.804587160244</v>
      </c>
      <c r="S12" s="2" t="s">
        <v>49</v>
      </c>
      <c r="T12" s="2" t="s">
        <v>45</v>
      </c>
    </row>
    <row r="13" spans="1:20" x14ac:dyDescent="0.2">
      <c r="A13" s="2" t="s">
        <v>12</v>
      </c>
      <c r="B13" s="2" t="s">
        <v>51</v>
      </c>
      <c r="C13" s="2" t="s">
        <v>54</v>
      </c>
      <c r="D13" s="3">
        <v>416</v>
      </c>
      <c r="E13" s="3">
        <v>4</v>
      </c>
      <c r="F13" s="2" t="s">
        <v>26</v>
      </c>
      <c r="G13" s="3">
        <v>4.2110000000000002E-2</v>
      </c>
      <c r="H13" s="3">
        <v>2.5418921430042356E-2</v>
      </c>
      <c r="I13" s="3">
        <v>30</v>
      </c>
      <c r="J13" s="3">
        <v>8.8426543400939233E-5</v>
      </c>
      <c r="K13" s="3">
        <v>105.56666666666666</v>
      </c>
      <c r="L13" s="3">
        <v>19.438249806902771</v>
      </c>
      <c r="M13" s="3">
        <v>30</v>
      </c>
      <c r="N13" s="3">
        <v>0.37056457180473501</v>
      </c>
      <c r="O13" s="3">
        <v>2.6408909999999999</v>
      </c>
      <c r="P13" s="3">
        <v>5.23633532117148E-3</v>
      </c>
      <c r="Q13" s="3">
        <f t="shared" si="0"/>
        <v>278790.05989999993</v>
      </c>
      <c r="R13" s="3">
        <f t="shared" si="1"/>
        <v>51334.298970801268</v>
      </c>
      <c r="S13" s="2" t="s">
        <v>49</v>
      </c>
      <c r="T13" s="2" t="s">
        <v>46</v>
      </c>
    </row>
    <row r="14" spans="1:20" x14ac:dyDescent="0.2">
      <c r="A14" s="2" t="s">
        <v>13</v>
      </c>
      <c r="B14" s="2" t="s">
        <v>45</v>
      </c>
      <c r="C14" s="2" t="s">
        <v>54</v>
      </c>
      <c r="D14" s="3">
        <v>416</v>
      </c>
      <c r="E14" s="3">
        <v>4</v>
      </c>
      <c r="F14" s="2" t="s">
        <v>26</v>
      </c>
      <c r="G14" s="3">
        <v>3.7940000000000002E-2</v>
      </c>
      <c r="H14" s="3">
        <v>1.9045639920989791E-2</v>
      </c>
      <c r="I14" s="3">
        <v>30</v>
      </c>
      <c r="J14" s="3">
        <v>8.8426543400939233E-5</v>
      </c>
      <c r="K14" s="3">
        <v>114.13333333333334</v>
      </c>
      <c r="L14" s="3">
        <v>13.047945772760126</v>
      </c>
      <c r="M14" s="3">
        <v>30</v>
      </c>
      <c r="N14" s="3">
        <v>0.37056457180473501</v>
      </c>
      <c r="O14" s="3">
        <v>2.8339379999999998</v>
      </c>
      <c r="P14" s="3">
        <v>5.5726282143715002E-3</v>
      </c>
      <c r="Q14" s="3">
        <f t="shared" si="0"/>
        <v>323446.7904</v>
      </c>
      <c r="R14" s="3">
        <f t="shared" si="1"/>
        <v>36977.069347364282</v>
      </c>
      <c r="S14" s="2" t="s">
        <v>49</v>
      </c>
      <c r="T14" s="2" t="s">
        <v>46</v>
      </c>
    </row>
    <row r="15" spans="1:20" x14ac:dyDescent="0.2">
      <c r="A15" s="2" t="s">
        <v>14</v>
      </c>
      <c r="B15" s="2" t="s">
        <v>45</v>
      </c>
      <c r="C15" s="2" t="s">
        <v>53</v>
      </c>
      <c r="D15" s="3">
        <v>416</v>
      </c>
      <c r="E15" s="3">
        <v>4</v>
      </c>
      <c r="F15" s="2" t="s">
        <v>26</v>
      </c>
      <c r="G15" s="3">
        <v>0.11237999999999999</v>
      </c>
      <c r="H15" s="3">
        <v>6.2458340249054549E-2</v>
      </c>
      <c r="I15" s="3">
        <v>30</v>
      </c>
      <c r="J15" s="3">
        <v>8.8426543400939233E-5</v>
      </c>
      <c r="K15" s="3">
        <v>127.56666666666666</v>
      </c>
      <c r="L15" s="3">
        <v>13.293314944821782</v>
      </c>
      <c r="M15" s="3">
        <v>30</v>
      </c>
      <c r="N15" s="3">
        <v>0.37056457180473501</v>
      </c>
      <c r="O15" s="3">
        <v>2.7791090000000001</v>
      </c>
      <c r="P15" s="3">
        <v>5.66700742213556E-3</v>
      </c>
      <c r="Q15" s="3">
        <f t="shared" si="0"/>
        <v>354521.67143333331</v>
      </c>
      <c r="R15" s="3">
        <f t="shared" si="1"/>
        <v>36943.571202988722</v>
      </c>
      <c r="S15" s="2" t="s">
        <v>49</v>
      </c>
      <c r="T15" s="2" t="s">
        <v>46</v>
      </c>
    </row>
    <row r="16" spans="1:20" x14ac:dyDescent="0.2">
      <c r="A16" s="2" t="s">
        <v>15</v>
      </c>
      <c r="B16" s="2" t="s">
        <v>51</v>
      </c>
      <c r="C16" s="2" t="s">
        <v>53</v>
      </c>
      <c r="D16" s="3">
        <v>432</v>
      </c>
      <c r="E16" s="3">
        <v>4</v>
      </c>
      <c r="F16" s="2" t="s">
        <v>26</v>
      </c>
      <c r="G16" s="3">
        <v>0.11005333333333332</v>
      </c>
      <c r="H16" s="3">
        <v>5.0609674525287703E-2</v>
      </c>
      <c r="I16" s="3">
        <v>30</v>
      </c>
      <c r="J16" s="3">
        <v>8.8426543400939233E-5</v>
      </c>
      <c r="K16" s="3">
        <v>116.6</v>
      </c>
      <c r="L16" s="3">
        <v>13.944174410842686</v>
      </c>
      <c r="M16" s="3">
        <v>30</v>
      </c>
      <c r="N16" s="3">
        <v>0.37056457180473501</v>
      </c>
      <c r="O16" s="3">
        <v>2.9945629999999999</v>
      </c>
      <c r="P16" s="3">
        <v>6.0308312755298103E-3</v>
      </c>
      <c r="Q16" s="3">
        <f t="shared" si="0"/>
        <v>349166.04579999996</v>
      </c>
      <c r="R16" s="3">
        <f t="shared" si="1"/>
        <v>41756.708756256303</v>
      </c>
      <c r="S16" s="2" t="s">
        <v>49</v>
      </c>
      <c r="T16" s="2" t="s">
        <v>45</v>
      </c>
    </row>
    <row r="17" spans="1:20" x14ac:dyDescent="0.2">
      <c r="A17" s="2" t="s">
        <v>16</v>
      </c>
      <c r="B17" s="2" t="s">
        <v>45</v>
      </c>
      <c r="C17" s="2" t="s">
        <v>53</v>
      </c>
      <c r="D17" s="3">
        <v>432</v>
      </c>
      <c r="E17" s="3">
        <v>4</v>
      </c>
      <c r="F17" s="2" t="s">
        <v>26</v>
      </c>
      <c r="G17" s="3">
        <v>9.1576666666666681E-2</v>
      </c>
      <c r="H17" s="3">
        <v>6.4996413661746674E-2</v>
      </c>
      <c r="I17" s="3">
        <v>30</v>
      </c>
      <c r="J17" s="3">
        <v>8.8426543400939233E-5</v>
      </c>
      <c r="K17" s="3">
        <v>112.6</v>
      </c>
      <c r="L17" s="3">
        <v>18.002962719137834</v>
      </c>
      <c r="M17" s="3">
        <v>30</v>
      </c>
      <c r="N17" s="3">
        <v>0.37056457180473501</v>
      </c>
      <c r="O17" s="3">
        <v>2.5566409999999999</v>
      </c>
      <c r="P17" s="3">
        <v>5.4435166976894199E-3</v>
      </c>
      <c r="Q17" s="3">
        <f t="shared" si="0"/>
        <v>287877.77659999998</v>
      </c>
      <c r="R17" s="3">
        <f t="shared" si="1"/>
        <v>46027.112609219272</v>
      </c>
      <c r="S17" s="2" t="s">
        <v>49</v>
      </c>
      <c r="T17" s="2" t="s">
        <v>45</v>
      </c>
    </row>
    <row r="18" spans="1:20" x14ac:dyDescent="0.2">
      <c r="A18" s="2" t="s">
        <v>1</v>
      </c>
      <c r="B18" s="2" t="s">
        <v>51</v>
      </c>
      <c r="C18" s="2" t="s">
        <v>53</v>
      </c>
      <c r="D18" s="3">
        <v>443</v>
      </c>
      <c r="E18" s="3">
        <v>9</v>
      </c>
      <c r="F18" s="2" t="s">
        <v>39</v>
      </c>
      <c r="G18" s="3">
        <v>6.5335714285714275E-2</v>
      </c>
      <c r="H18" s="3">
        <v>4.6340010591632945E-2</v>
      </c>
      <c r="I18" s="3">
        <v>30</v>
      </c>
      <c r="J18" s="3">
        <v>1.9526975237767728E-4</v>
      </c>
      <c r="K18" s="3">
        <v>76.066666666666663</v>
      </c>
      <c r="L18" s="3">
        <v>23.223455575966486</v>
      </c>
      <c r="M18" s="3">
        <v>30</v>
      </c>
      <c r="N18" s="3">
        <v>0.62580367191396191</v>
      </c>
      <c r="O18" s="3">
        <v>2.6321720000000002</v>
      </c>
      <c r="P18" s="3">
        <v>5.4202881720081999E-3</v>
      </c>
      <c r="Q18" s="3">
        <f t="shared" si="0"/>
        <v>200220.55013333331</v>
      </c>
      <c r="R18" s="3">
        <f t="shared" si="1"/>
        <v>61128.129510302868</v>
      </c>
      <c r="S18" s="2" t="s">
        <v>49</v>
      </c>
      <c r="T18" s="2" t="s">
        <v>45</v>
      </c>
    </row>
    <row r="19" spans="1:20" x14ac:dyDescent="0.2">
      <c r="A19" s="2" t="s">
        <v>2</v>
      </c>
      <c r="B19" s="2" t="s">
        <v>51</v>
      </c>
      <c r="C19" s="2" t="s">
        <v>54</v>
      </c>
      <c r="D19" s="3">
        <v>459</v>
      </c>
      <c r="E19" s="3">
        <v>9</v>
      </c>
      <c r="F19" s="2" t="s">
        <v>39</v>
      </c>
      <c r="G19" s="3">
        <v>2.8826666666666667E-2</v>
      </c>
      <c r="H19" s="3">
        <v>2.3920952229281249E-2</v>
      </c>
      <c r="I19" s="3">
        <v>30</v>
      </c>
      <c r="J19" s="3">
        <v>1.9526975237767728E-4</v>
      </c>
      <c r="K19" s="3">
        <v>107.43333333333334</v>
      </c>
      <c r="L19" s="3">
        <v>21.240971938423364</v>
      </c>
      <c r="M19" s="3">
        <v>30</v>
      </c>
      <c r="N19" s="3">
        <v>0.62580367191396191</v>
      </c>
      <c r="O19" s="3">
        <v>2.3046410000000002</v>
      </c>
      <c r="P19" s="3">
        <v>4.8552178502651103E-3</v>
      </c>
      <c r="Q19" s="3">
        <f t="shared" si="0"/>
        <v>247595.26476666672</v>
      </c>
      <c r="R19" s="3">
        <f t="shared" si="1"/>
        <v>48952.814809139963</v>
      </c>
      <c r="S19" s="2" t="s">
        <v>49</v>
      </c>
      <c r="T19" s="2" t="s">
        <v>45</v>
      </c>
    </row>
    <row r="20" spans="1:20" x14ac:dyDescent="0.2">
      <c r="A20" s="2" t="s">
        <v>3</v>
      </c>
      <c r="B20" s="2" t="s">
        <v>45</v>
      </c>
      <c r="C20" s="2" t="s">
        <v>54</v>
      </c>
      <c r="D20" s="3">
        <v>440</v>
      </c>
      <c r="E20" s="3">
        <v>9</v>
      </c>
      <c r="F20" s="2" t="s">
        <v>39</v>
      </c>
      <c r="G20" s="3">
        <v>2.4726666666666668E-2</v>
      </c>
      <c r="H20" s="3">
        <v>1.9631945621585468E-2</v>
      </c>
      <c r="I20" s="3">
        <v>30</v>
      </c>
      <c r="J20" s="3">
        <v>1.9526975237767728E-4</v>
      </c>
      <c r="K20" s="3">
        <v>118.6</v>
      </c>
      <c r="L20" s="3">
        <v>21.873271360269825</v>
      </c>
      <c r="M20" s="3">
        <v>30</v>
      </c>
      <c r="N20" s="3">
        <v>0.62580367191396191</v>
      </c>
      <c r="O20" s="3">
        <v>2.4295</v>
      </c>
      <c r="P20" s="3">
        <v>5.0407804497651703E-3</v>
      </c>
      <c r="Q20" s="3">
        <f t="shared" si="0"/>
        <v>288138.7</v>
      </c>
      <c r="R20" s="3">
        <f t="shared" si="1"/>
        <v>53141.112769775536</v>
      </c>
      <c r="S20" s="2" t="s">
        <v>49</v>
      </c>
      <c r="T20" s="2" t="s">
        <v>45</v>
      </c>
    </row>
    <row r="21" spans="1:20" x14ac:dyDescent="0.2">
      <c r="A21" s="2" t="s">
        <v>4</v>
      </c>
      <c r="B21" s="2" t="s">
        <v>45</v>
      </c>
      <c r="C21" s="2" t="s">
        <v>53</v>
      </c>
      <c r="D21" s="3">
        <v>440</v>
      </c>
      <c r="E21" s="3">
        <v>9</v>
      </c>
      <c r="F21" s="2" t="s">
        <v>39</v>
      </c>
      <c r="G21" s="3">
        <v>5.2466666666666668E-2</v>
      </c>
      <c r="H21" s="3">
        <v>4.1053252679362148E-2</v>
      </c>
      <c r="I21" s="3">
        <v>30</v>
      </c>
      <c r="J21" s="3">
        <v>1.9526975237767728E-4</v>
      </c>
      <c r="K21" s="3">
        <v>103</v>
      </c>
      <c r="L21" s="3">
        <v>23.279461620349672</v>
      </c>
      <c r="M21" s="3">
        <v>30</v>
      </c>
      <c r="N21" s="3">
        <v>0.62580367191396191</v>
      </c>
      <c r="O21" s="3">
        <v>2.3495469999999998</v>
      </c>
      <c r="P21" s="3">
        <v>4.9677642453295904E-3</v>
      </c>
      <c r="Q21" s="3">
        <f t="shared" si="0"/>
        <v>242003.34099999999</v>
      </c>
      <c r="R21" s="3">
        <f t="shared" si="1"/>
        <v>54696.1892117077</v>
      </c>
      <c r="S21" s="2" t="s">
        <v>49</v>
      </c>
      <c r="T21" s="2" t="s">
        <v>45</v>
      </c>
    </row>
    <row r="22" spans="1:20" x14ac:dyDescent="0.2">
      <c r="A22" s="2" t="s">
        <v>5</v>
      </c>
      <c r="B22" s="2" t="s">
        <v>51</v>
      </c>
      <c r="C22" s="2" t="s">
        <v>53</v>
      </c>
      <c r="D22" s="3">
        <v>459</v>
      </c>
      <c r="E22" s="3">
        <v>9</v>
      </c>
      <c r="F22" s="2" t="s">
        <v>39</v>
      </c>
      <c r="G22" s="3">
        <v>4.5233333333333327E-2</v>
      </c>
      <c r="H22" s="3">
        <v>3.7543071560838255E-2</v>
      </c>
      <c r="I22" s="3">
        <v>30</v>
      </c>
      <c r="J22" s="3">
        <v>1.9526975237767728E-4</v>
      </c>
      <c r="K22" s="3">
        <v>85.8</v>
      </c>
      <c r="L22" s="3">
        <v>24.047730315631313</v>
      </c>
      <c r="M22" s="3">
        <v>30</v>
      </c>
      <c r="N22" s="3">
        <v>0.62580367191396191</v>
      </c>
      <c r="O22" s="3">
        <v>2.5130159999999999</v>
      </c>
      <c r="P22" s="3">
        <v>5.2069453594309504E-3</v>
      </c>
      <c r="Q22" s="3">
        <f t="shared" si="0"/>
        <v>215616.77280000001</v>
      </c>
      <c r="R22" s="3">
        <f t="shared" si="1"/>
        <v>60432.331046866537</v>
      </c>
      <c r="S22" s="2" t="s">
        <v>49</v>
      </c>
      <c r="T22" s="2" t="s">
        <v>45</v>
      </c>
    </row>
    <row r="23" spans="1:20" x14ac:dyDescent="0.2">
      <c r="A23" s="2" t="s">
        <v>6</v>
      </c>
      <c r="B23" s="2" t="s">
        <v>45</v>
      </c>
      <c r="C23" s="2" t="s">
        <v>54</v>
      </c>
      <c r="D23" s="3">
        <v>446</v>
      </c>
      <c r="E23" s="3">
        <v>9</v>
      </c>
      <c r="F23" s="2" t="s">
        <v>39</v>
      </c>
      <c r="G23" s="3">
        <v>3.0951724137931035E-2</v>
      </c>
      <c r="H23" s="3">
        <v>2.6598400531243453E-2</v>
      </c>
      <c r="I23" s="3">
        <v>30</v>
      </c>
      <c r="J23" s="3">
        <v>1.9526975237767728E-4</v>
      </c>
      <c r="K23" s="3">
        <v>111.4</v>
      </c>
      <c r="L23" s="3">
        <v>22.766349436540473</v>
      </c>
      <c r="M23" s="3">
        <v>30</v>
      </c>
      <c r="N23" s="3">
        <v>0.62580367191396191</v>
      </c>
      <c r="O23" s="3">
        <v>2.1941250000000001</v>
      </c>
      <c r="P23" s="3">
        <v>4.5933096072269201E-3</v>
      </c>
      <c r="Q23" s="3">
        <f t="shared" si="0"/>
        <v>244425.52500000002</v>
      </c>
      <c r="R23" s="3">
        <f t="shared" si="1"/>
        <v>49952.216457449365</v>
      </c>
      <c r="S23" s="2" t="s">
        <v>49</v>
      </c>
      <c r="T23" s="2" t="s">
        <v>45</v>
      </c>
    </row>
    <row r="24" spans="1:20" x14ac:dyDescent="0.2">
      <c r="A24" s="2" t="s">
        <v>7</v>
      </c>
      <c r="B24" s="2" t="s">
        <v>51</v>
      </c>
      <c r="C24" s="2" t="s">
        <v>53</v>
      </c>
      <c r="D24" s="3">
        <v>416</v>
      </c>
      <c r="E24" s="3">
        <v>9</v>
      </c>
      <c r="F24" s="2" t="s">
        <v>39</v>
      </c>
      <c r="G24" s="3">
        <v>9.9920000000000023E-2</v>
      </c>
      <c r="H24" s="3">
        <v>3.7736343225066207E-2</v>
      </c>
      <c r="I24" s="3">
        <v>30</v>
      </c>
      <c r="J24" s="3">
        <v>1.9526975237767728E-4</v>
      </c>
      <c r="K24" s="3">
        <v>117.4</v>
      </c>
      <c r="L24" s="3">
        <v>19.664858673956104</v>
      </c>
      <c r="M24" s="3">
        <v>30</v>
      </c>
      <c r="N24" s="3">
        <v>0.62580367191396191</v>
      </c>
      <c r="O24" s="3">
        <v>2.284484</v>
      </c>
      <c r="P24" s="3">
        <v>4.6397328640655896E-3</v>
      </c>
      <c r="Q24" s="3">
        <f t="shared" si="0"/>
        <v>268198.4216</v>
      </c>
      <c r="R24" s="3">
        <f t="shared" si="1"/>
        <v>44924.055002913934</v>
      </c>
      <c r="S24" s="2" t="s">
        <v>49</v>
      </c>
      <c r="T24" s="2" t="s">
        <v>46</v>
      </c>
    </row>
    <row r="25" spans="1:20" x14ac:dyDescent="0.2">
      <c r="A25" s="2" t="s">
        <v>8</v>
      </c>
      <c r="B25" s="2" t="s">
        <v>45</v>
      </c>
      <c r="C25" s="2" t="s">
        <v>54</v>
      </c>
      <c r="D25" s="3">
        <v>494</v>
      </c>
      <c r="E25" s="3">
        <v>9</v>
      </c>
      <c r="F25" s="2" t="s">
        <v>39</v>
      </c>
      <c r="G25" s="3">
        <v>2.2248275862068966E-2</v>
      </c>
      <c r="H25" s="3">
        <v>2.8425530300935767E-2</v>
      </c>
      <c r="I25" s="3">
        <v>30</v>
      </c>
      <c r="J25" s="3">
        <v>1.9526975237767728E-4</v>
      </c>
      <c r="K25" s="3">
        <v>87.5</v>
      </c>
      <c r="L25" s="3">
        <v>30.457347225259131</v>
      </c>
      <c r="M25" s="3">
        <v>30</v>
      </c>
      <c r="N25" s="3">
        <v>0.62580367191396191</v>
      </c>
      <c r="O25" s="3">
        <v>2.465859</v>
      </c>
      <c r="P25" s="3">
        <v>5.1073031088297903E-3</v>
      </c>
      <c r="Q25" s="3">
        <f t="shared" si="0"/>
        <v>215762.66250000001</v>
      </c>
      <c r="R25" s="3">
        <f t="shared" si="1"/>
        <v>75103.52377153025</v>
      </c>
      <c r="S25" s="2" t="s">
        <v>49</v>
      </c>
      <c r="T25" s="2" t="s">
        <v>45</v>
      </c>
    </row>
    <row r="26" spans="1:20" x14ac:dyDescent="0.2">
      <c r="A26" s="2" t="s">
        <v>9</v>
      </c>
      <c r="B26" s="2" t="s">
        <v>51</v>
      </c>
      <c r="C26" s="2" t="s">
        <v>53</v>
      </c>
      <c r="D26" s="3">
        <v>480</v>
      </c>
      <c r="E26" s="3">
        <v>9</v>
      </c>
      <c r="F26" s="2" t="s">
        <v>39</v>
      </c>
      <c r="G26" s="3">
        <v>4.5796666666666659E-2</v>
      </c>
      <c r="H26" s="3">
        <v>4.3017046879373556E-2</v>
      </c>
      <c r="I26" s="3">
        <v>30</v>
      </c>
      <c r="J26" s="3">
        <v>1.9526975237767728E-4</v>
      </c>
      <c r="K26" s="3">
        <v>93.86666666666666</v>
      </c>
      <c r="L26" s="3">
        <v>29.785604278278829</v>
      </c>
      <c r="M26" s="3">
        <v>30</v>
      </c>
      <c r="N26" s="3">
        <v>0.62580367191396191</v>
      </c>
      <c r="O26" s="3">
        <v>2.534875</v>
      </c>
      <c r="P26" s="3">
        <v>5.3321666267446199E-3</v>
      </c>
      <c r="Q26" s="3">
        <f t="shared" si="0"/>
        <v>237940.26666666663</v>
      </c>
      <c r="R26" s="3">
        <f t="shared" si="1"/>
        <v>75502.78364490204</v>
      </c>
      <c r="S26" s="2" t="s">
        <v>49</v>
      </c>
      <c r="T26" s="2" t="s">
        <v>45</v>
      </c>
    </row>
    <row r="27" spans="1:20" x14ac:dyDescent="0.2">
      <c r="A27" s="2" t="s">
        <v>10</v>
      </c>
      <c r="B27" s="2" t="s">
        <v>45</v>
      </c>
      <c r="C27" s="2" t="s">
        <v>54</v>
      </c>
      <c r="D27" s="3">
        <v>480</v>
      </c>
      <c r="E27" s="3">
        <v>9</v>
      </c>
      <c r="F27" s="2" t="s">
        <v>39</v>
      </c>
      <c r="G27" s="3">
        <v>1.7156666666666667E-2</v>
      </c>
      <c r="H27" s="3">
        <v>1.592278625813404E-2</v>
      </c>
      <c r="I27" s="3">
        <v>30</v>
      </c>
      <c r="J27" s="3">
        <v>1.9526975237767728E-4</v>
      </c>
      <c r="K27" s="3">
        <v>110.3</v>
      </c>
      <c r="L27" s="3">
        <v>19.933472686246457</v>
      </c>
      <c r="M27" s="3">
        <v>30</v>
      </c>
      <c r="N27" s="3">
        <v>0.62580367191396191</v>
      </c>
      <c r="O27" s="3">
        <v>2.2221250000000001</v>
      </c>
      <c r="P27" s="3">
        <v>4.81757197498633E-3</v>
      </c>
      <c r="Q27" s="3">
        <f t="shared" si="0"/>
        <v>245100.38750000001</v>
      </c>
      <c r="R27" s="3">
        <f t="shared" si="1"/>
        <v>44294.66799292541</v>
      </c>
      <c r="S27" s="2" t="s">
        <v>49</v>
      </c>
      <c r="T27" s="2" t="s">
        <v>45</v>
      </c>
    </row>
    <row r="28" spans="1:20" x14ac:dyDescent="0.2">
      <c r="A28" s="2" t="s">
        <v>11</v>
      </c>
      <c r="B28" s="2" t="s">
        <v>45</v>
      </c>
      <c r="C28" s="2" t="s">
        <v>53</v>
      </c>
      <c r="D28" s="3">
        <v>480</v>
      </c>
      <c r="E28" s="3">
        <v>9</v>
      </c>
      <c r="F28" s="2" t="s">
        <v>39</v>
      </c>
      <c r="G28" s="3">
        <v>5.7933333333333323E-2</v>
      </c>
      <c r="H28" s="3">
        <v>3.3793582559743823E-2</v>
      </c>
      <c r="I28" s="3">
        <v>30</v>
      </c>
      <c r="J28" s="3">
        <v>1.9526975237767728E-4</v>
      </c>
      <c r="K28" s="3">
        <v>98.76666666666668</v>
      </c>
      <c r="L28" s="3">
        <v>26.235705102440495</v>
      </c>
      <c r="M28" s="3">
        <v>30</v>
      </c>
      <c r="N28" s="3">
        <v>0.62580367191396191</v>
      </c>
      <c r="O28" s="3">
        <v>2.3290470000000001</v>
      </c>
      <c r="P28" s="3">
        <v>5.0316601340491098E-3</v>
      </c>
      <c r="Q28" s="3">
        <f t="shared" si="0"/>
        <v>230032.20870000005</v>
      </c>
      <c r="R28" s="3">
        <f t="shared" si="1"/>
        <v>61104.190261723728</v>
      </c>
      <c r="S28" s="2" t="s">
        <v>49</v>
      </c>
      <c r="T28" s="2" t="s">
        <v>45</v>
      </c>
    </row>
    <row r="29" spans="1:20" x14ac:dyDescent="0.2">
      <c r="A29" s="2" t="s">
        <v>12</v>
      </c>
      <c r="B29" s="2" t="s">
        <v>51</v>
      </c>
      <c r="C29" s="2" t="s">
        <v>54</v>
      </c>
      <c r="D29" s="3">
        <v>416</v>
      </c>
      <c r="E29" s="3">
        <v>9</v>
      </c>
      <c r="F29" s="2" t="s">
        <v>39</v>
      </c>
      <c r="G29" s="3">
        <v>3.9946666666666672E-2</v>
      </c>
      <c r="H29" s="3">
        <v>2.9965844260127598E-2</v>
      </c>
      <c r="I29" s="3">
        <v>30</v>
      </c>
      <c r="J29" s="3">
        <v>1.9526975237767728E-4</v>
      </c>
      <c r="K29" s="3">
        <v>103</v>
      </c>
      <c r="L29" s="3">
        <v>27.741665415039524</v>
      </c>
      <c r="M29" s="3">
        <v>30</v>
      </c>
      <c r="N29" s="3">
        <v>0.62580367191396191</v>
      </c>
      <c r="O29" s="3">
        <v>2.3012809999999999</v>
      </c>
      <c r="P29" s="3">
        <v>4.5629596163722103E-3</v>
      </c>
      <c r="Q29" s="3">
        <f t="shared" si="0"/>
        <v>237031.943</v>
      </c>
      <c r="R29" s="3">
        <f t="shared" si="1"/>
        <v>63841.367527987568</v>
      </c>
      <c r="S29" s="2" t="s">
        <v>49</v>
      </c>
      <c r="T29" s="2" t="s">
        <v>46</v>
      </c>
    </row>
    <row r="30" spans="1:20" x14ac:dyDescent="0.2">
      <c r="A30" s="2" t="s">
        <v>13</v>
      </c>
      <c r="B30" s="2" t="s">
        <v>45</v>
      </c>
      <c r="C30" s="2" t="s">
        <v>54</v>
      </c>
      <c r="D30" s="3">
        <v>416</v>
      </c>
      <c r="E30" s="3">
        <v>9</v>
      </c>
      <c r="F30" s="2" t="s">
        <v>39</v>
      </c>
      <c r="G30" s="3">
        <v>3.5273333333333337E-2</v>
      </c>
      <c r="H30" s="3">
        <v>2.0279430191425224E-2</v>
      </c>
      <c r="I30" s="3">
        <v>30</v>
      </c>
      <c r="J30" s="3">
        <v>1.9526975237767728E-4</v>
      </c>
      <c r="K30" s="3">
        <v>111.5</v>
      </c>
      <c r="L30" s="3">
        <v>21.356888037976571</v>
      </c>
      <c r="M30" s="3">
        <v>30</v>
      </c>
      <c r="N30" s="3">
        <v>0.62580367191396191</v>
      </c>
      <c r="O30" s="3">
        <v>2.3931559999999998</v>
      </c>
      <c r="P30" s="3">
        <v>4.7058787619886E-3</v>
      </c>
      <c r="Q30" s="3">
        <f t="shared" si="0"/>
        <v>266836.89399999997</v>
      </c>
      <c r="R30" s="3">
        <f t="shared" si="1"/>
        <v>51110.364749411856</v>
      </c>
      <c r="S30" s="2" t="s">
        <v>49</v>
      </c>
      <c r="T30" s="2" t="s">
        <v>46</v>
      </c>
    </row>
    <row r="31" spans="1:20" x14ac:dyDescent="0.2">
      <c r="A31" s="2" t="s">
        <v>14</v>
      </c>
      <c r="B31" s="2" t="s">
        <v>45</v>
      </c>
      <c r="C31" s="2" t="s">
        <v>53</v>
      </c>
      <c r="D31" s="3">
        <v>416</v>
      </c>
      <c r="E31" s="3">
        <v>9</v>
      </c>
      <c r="F31" s="2" t="s">
        <v>39</v>
      </c>
      <c r="G31" s="3">
        <v>9.1113333333333338E-2</v>
      </c>
      <c r="H31" s="3">
        <v>3.6311694473758115E-2</v>
      </c>
      <c r="I31" s="3">
        <v>30</v>
      </c>
      <c r="J31" s="3">
        <v>1.9526975237767728E-4</v>
      </c>
      <c r="K31" s="3">
        <v>120.46666666666668</v>
      </c>
      <c r="L31" s="3">
        <v>18.613137534786791</v>
      </c>
      <c r="M31" s="3">
        <v>30</v>
      </c>
      <c r="N31" s="3">
        <v>0.62580367191396191</v>
      </c>
      <c r="O31" s="3">
        <v>2.3450160000000002</v>
      </c>
      <c r="P31" s="3">
        <v>4.78182866416058E-3</v>
      </c>
      <c r="Q31" s="3">
        <f t="shared" si="0"/>
        <v>282496.26080000005</v>
      </c>
      <c r="R31" s="3">
        <f t="shared" si="1"/>
        <v>43648.105329275582</v>
      </c>
      <c r="S31" s="2" t="s">
        <v>49</v>
      </c>
      <c r="T31" s="2" t="s">
        <v>46</v>
      </c>
    </row>
    <row r="32" spans="1:20" x14ac:dyDescent="0.2">
      <c r="A32" s="2" t="s">
        <v>15</v>
      </c>
      <c r="B32" s="2" t="s">
        <v>51</v>
      </c>
      <c r="C32" s="2" t="s">
        <v>53</v>
      </c>
      <c r="D32" s="3">
        <v>432</v>
      </c>
      <c r="E32" s="3">
        <v>9</v>
      </c>
      <c r="F32" s="2" t="s">
        <v>39</v>
      </c>
      <c r="G32" s="3">
        <v>7.5809999999999989E-2</v>
      </c>
      <c r="H32" s="3">
        <v>2.3196728936066252E-2</v>
      </c>
      <c r="I32" s="3">
        <v>30</v>
      </c>
      <c r="J32" s="3">
        <v>1.9526975237767728E-4</v>
      </c>
      <c r="K32" s="3">
        <v>109.73333333333332</v>
      </c>
      <c r="L32" s="3">
        <v>18.364700439218229</v>
      </c>
      <c r="M32" s="3">
        <v>30</v>
      </c>
      <c r="N32" s="3">
        <v>0.62580367191396191</v>
      </c>
      <c r="O32" s="3">
        <v>2.643313</v>
      </c>
      <c r="P32" s="3">
        <v>5.3234394171752398E-3</v>
      </c>
      <c r="Q32" s="3">
        <f t="shared" si="0"/>
        <v>290059.54653333331</v>
      </c>
      <c r="R32" s="3">
        <f t="shared" si="1"/>
        <v>48543.651412091254</v>
      </c>
      <c r="S32" s="2" t="s">
        <v>49</v>
      </c>
      <c r="T32" s="2" t="s">
        <v>45</v>
      </c>
    </row>
    <row r="33" spans="1:20" x14ac:dyDescent="0.2">
      <c r="A33" s="2" t="s">
        <v>16</v>
      </c>
      <c r="B33" s="2" t="s">
        <v>45</v>
      </c>
      <c r="C33" s="2" t="s">
        <v>53</v>
      </c>
      <c r="D33" s="3">
        <v>432</v>
      </c>
      <c r="E33" s="3">
        <v>9</v>
      </c>
      <c r="F33" s="2" t="s">
        <v>39</v>
      </c>
      <c r="G33" s="3">
        <v>7.5203333333333316E-2</v>
      </c>
      <c r="H33" s="3">
        <v>4.5151629600221031E-2</v>
      </c>
      <c r="I33" s="3">
        <v>30</v>
      </c>
      <c r="J33" s="3">
        <v>1.9526975237767728E-4</v>
      </c>
      <c r="K33" s="3">
        <v>126.73333333333332</v>
      </c>
      <c r="L33" s="3">
        <v>14.477415361712724</v>
      </c>
      <c r="M33" s="3">
        <v>30</v>
      </c>
      <c r="N33" s="3">
        <v>0.62580367191396191</v>
      </c>
      <c r="O33" s="3">
        <v>2.4697499999999999</v>
      </c>
      <c r="P33" s="3">
        <v>5.2585112122188696E-3</v>
      </c>
      <c r="Q33" s="3">
        <f t="shared" si="0"/>
        <v>312999.64999999997</v>
      </c>
      <c r="R33" s="3">
        <f t="shared" si="1"/>
        <v>35755.596589590001</v>
      </c>
      <c r="S33" s="2" t="s">
        <v>49</v>
      </c>
      <c r="T33" s="2" t="s">
        <v>45</v>
      </c>
    </row>
    <row r="34" spans="1:20" x14ac:dyDescent="0.2">
      <c r="A34" s="2" t="s">
        <v>1</v>
      </c>
      <c r="B34" s="2" t="s">
        <v>51</v>
      </c>
      <c r="C34" s="2" t="s">
        <v>53</v>
      </c>
      <c r="D34" s="3">
        <v>443</v>
      </c>
      <c r="E34" s="3">
        <v>12</v>
      </c>
      <c r="F34" s="2" t="s">
        <v>41</v>
      </c>
      <c r="G34" s="3">
        <v>6.8009999999999987E-2</v>
      </c>
      <c r="H34" s="3">
        <v>4.51925609660115E-2</v>
      </c>
      <c r="I34" s="3">
        <v>30</v>
      </c>
      <c r="J34" s="3">
        <v>1.1641780039811857E-3</v>
      </c>
      <c r="K34" s="3">
        <v>106.36666666666666</v>
      </c>
      <c r="L34" s="3">
        <v>15.544523866050778</v>
      </c>
      <c r="M34" s="3">
        <v>30</v>
      </c>
      <c r="N34" s="3">
        <v>0.79688130240693977</v>
      </c>
      <c r="O34" s="3">
        <v>6.3885160000000001</v>
      </c>
      <c r="P34" s="3">
        <v>1.3155522401835901E-2</v>
      </c>
      <c r="Q34" s="3">
        <f t="shared" si="0"/>
        <v>679525.15186666662</v>
      </c>
      <c r="R34" s="3">
        <f t="shared" si="1"/>
        <v>99306.439430647253</v>
      </c>
      <c r="S34" s="2" t="s">
        <v>49</v>
      </c>
      <c r="T34" s="2" t="s">
        <v>45</v>
      </c>
    </row>
    <row r="35" spans="1:20" x14ac:dyDescent="0.2">
      <c r="A35" s="2" t="s">
        <v>2</v>
      </c>
      <c r="B35" s="2" t="s">
        <v>51</v>
      </c>
      <c r="C35" s="2" t="s">
        <v>54</v>
      </c>
      <c r="D35" s="3">
        <v>459</v>
      </c>
      <c r="E35" s="3">
        <v>12</v>
      </c>
      <c r="F35" s="2" t="s">
        <v>41</v>
      </c>
      <c r="G35" s="3">
        <v>4.3719999999999995E-2</v>
      </c>
      <c r="H35" s="3">
        <v>2.146948842737836E-2</v>
      </c>
      <c r="I35" s="3">
        <v>30</v>
      </c>
      <c r="J35" s="3">
        <v>1.1641780039811857E-3</v>
      </c>
      <c r="K35" s="3">
        <v>112.1</v>
      </c>
      <c r="L35" s="3">
        <v>17.707531354388919</v>
      </c>
      <c r="M35" s="3">
        <v>30</v>
      </c>
      <c r="N35" s="3">
        <v>0.79688130240693977</v>
      </c>
      <c r="O35" s="3">
        <v>5.6535159999999998</v>
      </c>
      <c r="P35" s="3">
        <v>1.1910337358382201E-2</v>
      </c>
      <c r="Q35" s="3">
        <f t="shared" si="0"/>
        <v>633759.14359999995</v>
      </c>
      <c r="R35" s="3">
        <f t="shared" si="1"/>
        <v>100109.81183253943</v>
      </c>
      <c r="S35" s="2" t="s">
        <v>49</v>
      </c>
      <c r="T35" s="2" t="s">
        <v>45</v>
      </c>
    </row>
    <row r="36" spans="1:20" x14ac:dyDescent="0.2">
      <c r="A36" s="2" t="s">
        <v>3</v>
      </c>
      <c r="B36" s="2" t="s">
        <v>45</v>
      </c>
      <c r="C36" s="2" t="s">
        <v>54</v>
      </c>
      <c r="D36" s="3">
        <v>440</v>
      </c>
      <c r="E36" s="3">
        <v>12</v>
      </c>
      <c r="F36" s="2" t="s">
        <v>41</v>
      </c>
      <c r="G36" s="3">
        <v>3.7766666666666664E-2</v>
      </c>
      <c r="H36" s="3">
        <v>1.8092582887900655E-2</v>
      </c>
      <c r="I36" s="3">
        <v>30</v>
      </c>
      <c r="J36" s="3">
        <v>1.1641780039811857E-3</v>
      </c>
      <c r="K36" s="3">
        <v>108.63333333333334</v>
      </c>
      <c r="L36" s="3">
        <v>13.607555091035112</v>
      </c>
      <c r="M36" s="3">
        <v>30</v>
      </c>
      <c r="N36" s="3">
        <v>0.79688130240693977</v>
      </c>
      <c r="O36" s="3">
        <v>5.8218439999999996</v>
      </c>
      <c r="P36" s="3">
        <v>1.2079290972127E-2</v>
      </c>
      <c r="Q36" s="3">
        <f t="shared" si="0"/>
        <v>632446.31986666669</v>
      </c>
      <c r="R36" s="3">
        <f t="shared" si="1"/>
        <v>79221.062961412215</v>
      </c>
      <c r="S36" s="2" t="s">
        <v>49</v>
      </c>
      <c r="T36" s="2" t="s">
        <v>45</v>
      </c>
    </row>
    <row r="37" spans="1:20" x14ac:dyDescent="0.2">
      <c r="A37" s="2" t="s">
        <v>4</v>
      </c>
      <c r="B37" s="2" t="s">
        <v>45</v>
      </c>
      <c r="C37" s="2" t="s">
        <v>53</v>
      </c>
      <c r="D37" s="3">
        <v>440</v>
      </c>
      <c r="E37" s="3">
        <v>12</v>
      </c>
      <c r="F37" s="2" t="s">
        <v>41</v>
      </c>
      <c r="G37" s="3">
        <v>7.1093333333333314E-2</v>
      </c>
      <c r="H37" s="3">
        <v>4.9702608471677713E-2</v>
      </c>
      <c r="I37" s="3">
        <v>30</v>
      </c>
      <c r="J37" s="3">
        <v>1.1641780039811857E-3</v>
      </c>
      <c r="K37" s="3">
        <v>107.16666666666669</v>
      </c>
      <c r="L37" s="3">
        <v>12.173970410492856</v>
      </c>
      <c r="M37" s="3">
        <v>30</v>
      </c>
      <c r="N37" s="3">
        <v>0.79688130240693977</v>
      </c>
      <c r="O37" s="3">
        <v>6.1426879999999997</v>
      </c>
      <c r="P37" s="3">
        <v>1.29877911855413E-2</v>
      </c>
      <c r="Q37" s="3">
        <f t="shared" si="0"/>
        <v>658291.39733333339</v>
      </c>
      <c r="R37" s="3">
        <f t="shared" si="1"/>
        <v>74780.901952889544</v>
      </c>
      <c r="S37" s="2" t="s">
        <v>49</v>
      </c>
      <c r="T37" s="2" t="s">
        <v>45</v>
      </c>
    </row>
    <row r="38" spans="1:20" x14ac:dyDescent="0.2">
      <c r="A38" s="2" t="s">
        <v>5</v>
      </c>
      <c r="B38" s="2" t="s">
        <v>51</v>
      </c>
      <c r="C38" s="2" t="s">
        <v>53</v>
      </c>
      <c r="D38" s="3">
        <v>459</v>
      </c>
      <c r="E38" s="3">
        <v>12</v>
      </c>
      <c r="F38" s="2" t="s">
        <v>41</v>
      </c>
      <c r="G38" s="3">
        <v>4.4736666666666668E-2</v>
      </c>
      <c r="H38" s="3">
        <v>3.7738808348377346E-2</v>
      </c>
      <c r="I38" s="3">
        <v>30</v>
      </c>
      <c r="J38" s="3">
        <v>1.1641780039811857E-3</v>
      </c>
      <c r="K38" s="3">
        <v>76.400000000000006</v>
      </c>
      <c r="L38" s="3">
        <v>20.764713658833184</v>
      </c>
      <c r="M38" s="3">
        <v>30</v>
      </c>
      <c r="N38" s="3">
        <v>0.79688130240693977</v>
      </c>
      <c r="O38" s="3">
        <v>6.2948750000000002</v>
      </c>
      <c r="P38" s="3">
        <v>1.30429214017929E-2</v>
      </c>
      <c r="Q38" s="3">
        <f t="shared" si="0"/>
        <v>480928.45</v>
      </c>
      <c r="R38" s="3">
        <f t="shared" si="1"/>
        <v>130711.27689314754</v>
      </c>
      <c r="S38" s="2" t="s">
        <v>49</v>
      </c>
      <c r="T38" s="2" t="s">
        <v>45</v>
      </c>
    </row>
    <row r="39" spans="1:20" x14ac:dyDescent="0.2">
      <c r="A39" s="2" t="s">
        <v>6</v>
      </c>
      <c r="B39" s="2" t="s">
        <v>45</v>
      </c>
      <c r="C39" s="2" t="s">
        <v>54</v>
      </c>
      <c r="D39" s="3">
        <v>446</v>
      </c>
      <c r="E39" s="3">
        <v>12</v>
      </c>
      <c r="F39" s="2" t="s">
        <v>41</v>
      </c>
      <c r="G39" s="3">
        <v>2.9503333333333333E-2</v>
      </c>
      <c r="H39" s="3">
        <v>1.9316288175756976E-2</v>
      </c>
      <c r="I39" s="3">
        <v>30</v>
      </c>
      <c r="J39" s="3">
        <v>1.1641780039811857E-3</v>
      </c>
      <c r="K39" s="3">
        <v>101.16666666666669</v>
      </c>
      <c r="L39" s="3">
        <v>12.277576670047264</v>
      </c>
      <c r="M39" s="3">
        <v>30</v>
      </c>
      <c r="N39" s="3">
        <v>0.79688130240693977</v>
      </c>
      <c r="O39" s="3">
        <v>5.8227659999999997</v>
      </c>
      <c r="P39" s="3">
        <v>1.21897189122927E-2</v>
      </c>
      <c r="Q39" s="3">
        <f t="shared" si="0"/>
        <v>589069.82700000005</v>
      </c>
      <c r="R39" s="3">
        <f t="shared" si="1"/>
        <v>71489.455996744422</v>
      </c>
      <c r="S39" s="2" t="s">
        <v>49</v>
      </c>
      <c r="T39" s="2" t="s">
        <v>45</v>
      </c>
    </row>
    <row r="40" spans="1:20" x14ac:dyDescent="0.2">
      <c r="A40" s="2" t="s">
        <v>7</v>
      </c>
      <c r="B40" s="2" t="s">
        <v>51</v>
      </c>
      <c r="C40" s="2" t="s">
        <v>53</v>
      </c>
      <c r="D40" s="3">
        <v>416</v>
      </c>
      <c r="E40" s="3">
        <v>12</v>
      </c>
      <c r="F40" s="2" t="s">
        <v>41</v>
      </c>
      <c r="G40" s="3">
        <v>6.0420000000000001E-2</v>
      </c>
      <c r="H40" s="3">
        <v>5.3512655201051897E-2</v>
      </c>
      <c r="I40" s="3">
        <v>30</v>
      </c>
      <c r="J40" s="3">
        <v>1.1641780039811857E-3</v>
      </c>
      <c r="K40" s="3">
        <v>112.86666666666666</v>
      </c>
      <c r="L40" s="3">
        <v>12.729842453419794</v>
      </c>
      <c r="M40" s="3">
        <v>30</v>
      </c>
      <c r="N40" s="3">
        <v>0.79688130240693977</v>
      </c>
      <c r="O40" s="3">
        <v>6.3651720000000003</v>
      </c>
      <c r="P40" s="3">
        <v>1.29275134839334E-2</v>
      </c>
      <c r="Q40" s="3">
        <f t="shared" si="0"/>
        <v>718415.74639999995</v>
      </c>
      <c r="R40" s="3">
        <f t="shared" si="1"/>
        <v>81027.636748918972</v>
      </c>
      <c r="S40" s="2" t="s">
        <v>49</v>
      </c>
      <c r="T40" s="2" t="s">
        <v>46</v>
      </c>
    </row>
    <row r="41" spans="1:20" x14ac:dyDescent="0.2">
      <c r="A41" s="2" t="s">
        <v>8</v>
      </c>
      <c r="B41" s="2" t="s">
        <v>45</v>
      </c>
      <c r="C41" s="2" t="s">
        <v>54</v>
      </c>
      <c r="D41" s="3">
        <v>494</v>
      </c>
      <c r="E41" s="3">
        <v>12</v>
      </c>
      <c r="F41" s="2" t="s">
        <v>41</v>
      </c>
      <c r="G41" s="3">
        <v>3.3576666666666671E-2</v>
      </c>
      <c r="H41" s="3">
        <v>1.9012060791917206E-2</v>
      </c>
      <c r="I41" s="3">
        <v>30</v>
      </c>
      <c r="J41" s="3">
        <v>1.1641780039811857E-3</v>
      </c>
      <c r="K41" s="3">
        <v>107.3</v>
      </c>
      <c r="L41" s="3">
        <v>16.311856628436466</v>
      </c>
      <c r="M41" s="3">
        <v>30</v>
      </c>
      <c r="N41" s="3">
        <v>0.79688130240693977</v>
      </c>
      <c r="O41" s="3">
        <v>5.758578</v>
      </c>
      <c r="P41" s="3">
        <v>1.1927203997405701E-2</v>
      </c>
      <c r="Q41" s="3">
        <f t="shared" si="0"/>
        <v>617895.41940000001</v>
      </c>
      <c r="R41" s="3">
        <f t="shared" si="1"/>
        <v>93933.098719668415</v>
      </c>
      <c r="S41" s="2" t="s">
        <v>49</v>
      </c>
      <c r="T41" s="2" t="s">
        <v>45</v>
      </c>
    </row>
    <row r="42" spans="1:20" x14ac:dyDescent="0.2">
      <c r="A42" s="2" t="s">
        <v>9</v>
      </c>
      <c r="B42" s="2" t="s">
        <v>51</v>
      </c>
      <c r="C42" s="2" t="s">
        <v>53</v>
      </c>
      <c r="D42" s="3">
        <v>480</v>
      </c>
      <c r="E42" s="3">
        <v>12</v>
      </c>
      <c r="F42" s="2" t="s">
        <v>41</v>
      </c>
      <c r="G42" s="3">
        <v>6.3903448275862085E-2</v>
      </c>
      <c r="H42" s="3">
        <v>4.2279166490647335E-2</v>
      </c>
      <c r="I42" s="3">
        <v>30</v>
      </c>
      <c r="J42" s="3">
        <v>1.1641780039811857E-3</v>
      </c>
      <c r="K42" s="3">
        <v>83.9</v>
      </c>
      <c r="L42" s="3">
        <v>28.390550070988994</v>
      </c>
      <c r="M42" s="3">
        <v>30</v>
      </c>
      <c r="N42" s="3">
        <v>0.79688130240693977</v>
      </c>
      <c r="O42" s="3">
        <v>6.3553750000000004</v>
      </c>
      <c r="P42" s="3">
        <v>1.3368674382542399E-2</v>
      </c>
      <c r="Q42" s="3">
        <f t="shared" si="0"/>
        <v>533215.96250000002</v>
      </c>
      <c r="R42" s="3">
        <f t="shared" si="1"/>
        <v>180432.59215741168</v>
      </c>
      <c r="S42" s="2" t="s">
        <v>49</v>
      </c>
      <c r="T42" s="2" t="s">
        <v>45</v>
      </c>
    </row>
    <row r="43" spans="1:20" x14ac:dyDescent="0.2">
      <c r="A43" s="2" t="s">
        <v>10</v>
      </c>
      <c r="B43" s="2" t="s">
        <v>45</v>
      </c>
      <c r="C43" s="2" t="s">
        <v>54</v>
      </c>
      <c r="D43" s="3">
        <v>480</v>
      </c>
      <c r="E43" s="3">
        <v>12</v>
      </c>
      <c r="F43" s="2" t="s">
        <v>41</v>
      </c>
      <c r="G43" s="3">
        <v>2.2939999999999995E-2</v>
      </c>
      <c r="H43" s="3">
        <v>1.402437402049256E-2</v>
      </c>
      <c r="I43" s="3">
        <v>30</v>
      </c>
      <c r="J43" s="3">
        <v>1.1641780039811857E-3</v>
      </c>
      <c r="K43" s="3">
        <v>98.23333333333332</v>
      </c>
      <c r="L43" s="3">
        <v>19.683636746179697</v>
      </c>
      <c r="M43" s="3">
        <v>30</v>
      </c>
      <c r="N43" s="3">
        <v>0.79688130240693977</v>
      </c>
      <c r="O43" s="3">
        <v>5.5230940000000004</v>
      </c>
      <c r="P43" s="3">
        <v>1.19740801573337E-2</v>
      </c>
      <c r="Q43" s="3">
        <f t="shared" si="0"/>
        <v>542551.93393333326</v>
      </c>
      <c r="R43" s="3">
        <f t="shared" si="1"/>
        <v>108714.57601100462</v>
      </c>
      <c r="S43" s="2" t="s">
        <v>49</v>
      </c>
      <c r="T43" s="2" t="s">
        <v>45</v>
      </c>
    </row>
    <row r="44" spans="1:20" x14ac:dyDescent="0.2">
      <c r="A44" s="2" t="s">
        <v>11</v>
      </c>
      <c r="B44" s="2" t="s">
        <v>45</v>
      </c>
      <c r="C44" s="2" t="s">
        <v>53</v>
      </c>
      <c r="D44" s="3">
        <v>480</v>
      </c>
      <c r="E44" s="3">
        <v>12</v>
      </c>
      <c r="F44" s="2" t="s">
        <v>41</v>
      </c>
      <c r="G44" s="3">
        <v>0.11142333333333332</v>
      </c>
      <c r="H44" s="3">
        <v>5.2178703723092065E-2</v>
      </c>
      <c r="I44" s="3">
        <v>30</v>
      </c>
      <c r="J44" s="3">
        <v>1.1641780039811857E-3</v>
      </c>
      <c r="K44" s="3">
        <v>106.53333333333332</v>
      </c>
      <c r="L44" s="3">
        <v>12.97107894081633</v>
      </c>
      <c r="M44" s="3">
        <v>30</v>
      </c>
      <c r="N44" s="3">
        <v>0.79688130240693977</v>
      </c>
      <c r="O44" s="3">
        <v>5.9073599999999997</v>
      </c>
      <c r="P44" s="3">
        <v>1.2762227558944199E-2</v>
      </c>
      <c r="Q44" s="3">
        <f t="shared" si="0"/>
        <v>629330.75199999986</v>
      </c>
      <c r="R44" s="3">
        <f t="shared" si="1"/>
        <v>76624.832891820755</v>
      </c>
      <c r="S44" s="2" t="s">
        <v>49</v>
      </c>
      <c r="T44" s="2" t="s">
        <v>45</v>
      </c>
    </row>
    <row r="45" spans="1:20" x14ac:dyDescent="0.2">
      <c r="A45" s="2" t="s">
        <v>12</v>
      </c>
      <c r="B45" s="2" t="s">
        <v>51</v>
      </c>
      <c r="C45" s="2" t="s">
        <v>54</v>
      </c>
      <c r="D45" s="3">
        <v>416</v>
      </c>
      <c r="E45" s="3">
        <v>12</v>
      </c>
      <c r="F45" s="2" t="s">
        <v>41</v>
      </c>
      <c r="G45" s="3">
        <v>4.463333333333333E-2</v>
      </c>
      <c r="H45" s="3">
        <v>2.2278425039087078E-2</v>
      </c>
      <c r="I45" s="3">
        <v>30</v>
      </c>
      <c r="J45" s="3">
        <v>1.1641780039811857E-3</v>
      </c>
      <c r="K45" s="3">
        <v>101.23333333333332</v>
      </c>
      <c r="L45" s="3">
        <v>16.296591327295683</v>
      </c>
      <c r="M45" s="3">
        <v>30</v>
      </c>
      <c r="N45" s="3">
        <v>0.79688130240693977</v>
      </c>
      <c r="O45" s="3">
        <v>6.0853599999999997</v>
      </c>
      <c r="P45" s="3">
        <v>1.2065997994632901E-2</v>
      </c>
      <c r="Q45" s="3">
        <f t="shared" si="0"/>
        <v>616041.27733333316</v>
      </c>
      <c r="R45" s="3">
        <f t="shared" si="1"/>
        <v>99170.624999472057</v>
      </c>
      <c r="S45" s="2" t="s">
        <v>49</v>
      </c>
      <c r="T45" s="2" t="s">
        <v>46</v>
      </c>
    </row>
    <row r="46" spans="1:20" x14ac:dyDescent="0.2">
      <c r="A46" s="2" t="s">
        <v>13</v>
      </c>
      <c r="B46" s="2" t="s">
        <v>45</v>
      </c>
      <c r="C46" s="2" t="s">
        <v>54</v>
      </c>
      <c r="D46" s="3">
        <v>416</v>
      </c>
      <c r="E46" s="3">
        <v>12</v>
      </c>
      <c r="F46" s="2" t="s">
        <v>41</v>
      </c>
      <c r="G46" s="3">
        <v>4.4786206896551724E-2</v>
      </c>
      <c r="H46" s="3">
        <v>1.9561992073616336E-2</v>
      </c>
      <c r="I46" s="3">
        <v>30</v>
      </c>
      <c r="J46" s="3">
        <v>1.1641780039811857E-3</v>
      </c>
      <c r="K46" s="3">
        <v>105.66666666666669</v>
      </c>
      <c r="L46" s="3">
        <v>15.864705761182238</v>
      </c>
      <c r="M46" s="3">
        <v>30</v>
      </c>
      <c r="N46" s="3">
        <v>0.79688130240693977</v>
      </c>
      <c r="O46" s="3">
        <v>6.1111250000000004</v>
      </c>
      <c r="P46" s="3">
        <v>1.2016856966013701E-2</v>
      </c>
      <c r="Q46" s="3">
        <f t="shared" si="0"/>
        <v>645742.20833333349</v>
      </c>
      <c r="R46" s="3">
        <f t="shared" si="1"/>
        <v>96951.199994804818</v>
      </c>
      <c r="S46" s="2" t="s">
        <v>49</v>
      </c>
      <c r="T46" s="2" t="s">
        <v>46</v>
      </c>
    </row>
    <row r="47" spans="1:20" x14ac:dyDescent="0.2">
      <c r="A47" s="2" t="s">
        <v>14</v>
      </c>
      <c r="B47" s="2" t="s">
        <v>45</v>
      </c>
      <c r="C47" s="2" t="s">
        <v>53</v>
      </c>
      <c r="D47" s="3">
        <v>416</v>
      </c>
      <c r="E47" s="3">
        <v>12</v>
      </c>
      <c r="F47" s="2" t="s">
        <v>41</v>
      </c>
      <c r="G47" s="3">
        <v>0.12409666666666667</v>
      </c>
      <c r="H47" s="3">
        <v>4.940880139768173E-2</v>
      </c>
      <c r="I47" s="3">
        <v>30</v>
      </c>
      <c r="J47" s="3">
        <v>1.1641780039811857E-3</v>
      </c>
      <c r="K47" s="3">
        <v>121.16666666666669</v>
      </c>
      <c r="L47" s="3">
        <v>13.969212178533509</v>
      </c>
      <c r="M47" s="3">
        <v>30</v>
      </c>
      <c r="N47" s="3">
        <v>0.79688130240693977</v>
      </c>
      <c r="O47" s="3">
        <v>6.2642040000000003</v>
      </c>
      <c r="P47" s="3">
        <v>1.2773622971164999E-2</v>
      </c>
      <c r="Q47" s="3">
        <f t="shared" si="0"/>
        <v>759012.71800000011</v>
      </c>
      <c r="R47" s="3">
        <f t="shared" si="1"/>
        <v>87505.994805618335</v>
      </c>
      <c r="S47" s="2" t="s">
        <v>49</v>
      </c>
      <c r="T47" s="2" t="s">
        <v>46</v>
      </c>
    </row>
    <row r="48" spans="1:20" x14ac:dyDescent="0.2">
      <c r="A48" s="2" t="s">
        <v>15</v>
      </c>
      <c r="B48" s="2" t="s">
        <v>51</v>
      </c>
      <c r="C48" s="2" t="s">
        <v>53</v>
      </c>
      <c r="D48" s="3">
        <v>432</v>
      </c>
      <c r="E48" s="3">
        <v>12</v>
      </c>
      <c r="F48" s="2" t="s">
        <v>41</v>
      </c>
      <c r="G48" s="3">
        <v>6.8440000000000001E-2</v>
      </c>
      <c r="H48" s="3">
        <v>4.6960633158707167E-2</v>
      </c>
      <c r="I48" s="3">
        <v>30</v>
      </c>
      <c r="J48" s="3">
        <v>1.1641780039811857E-3</v>
      </c>
      <c r="K48" s="3">
        <v>110.86666666666666</v>
      </c>
      <c r="L48" s="3">
        <v>18.557538150903053</v>
      </c>
      <c r="M48" s="3">
        <v>30</v>
      </c>
      <c r="N48" s="3">
        <v>0.79688130240693977</v>
      </c>
      <c r="O48" s="3">
        <v>7.1340000000000003</v>
      </c>
      <c r="P48" s="3">
        <v>1.4367355209968799E-2</v>
      </c>
      <c r="Q48" s="3">
        <f t="shared" si="0"/>
        <v>790922.79999999993</v>
      </c>
      <c r="R48" s="3">
        <f t="shared" si="1"/>
        <v>132389.47716854239</v>
      </c>
      <c r="S48" s="2" t="s">
        <v>49</v>
      </c>
      <c r="T48" s="2" t="s">
        <v>45</v>
      </c>
    </row>
    <row r="49" spans="1:20" x14ac:dyDescent="0.2">
      <c r="A49" s="2" t="s">
        <v>16</v>
      </c>
      <c r="B49" s="2" t="s">
        <v>45</v>
      </c>
      <c r="C49" s="2" t="s">
        <v>53</v>
      </c>
      <c r="D49" s="3">
        <v>432</v>
      </c>
      <c r="E49" s="3">
        <v>12</v>
      </c>
      <c r="F49" s="2" t="s">
        <v>41</v>
      </c>
      <c r="G49" s="3">
        <v>8.6733333333333329E-2</v>
      </c>
      <c r="H49" s="3">
        <v>6.5368771001313941E-2</v>
      </c>
      <c r="I49" s="3">
        <v>30</v>
      </c>
      <c r="J49" s="3">
        <v>1.1641780039811857E-3</v>
      </c>
      <c r="K49" s="3">
        <v>105.56666666666666</v>
      </c>
      <c r="L49" s="3">
        <v>12.78979628019496</v>
      </c>
      <c r="M49" s="3">
        <v>30</v>
      </c>
      <c r="N49" s="3">
        <v>0.79688130240693977</v>
      </c>
      <c r="O49" s="3">
        <v>6.0730630000000003</v>
      </c>
      <c r="P49" s="3">
        <v>1.2930567821849001E-2</v>
      </c>
      <c r="Q49" s="3">
        <f t="shared" si="0"/>
        <v>641113.0173666667</v>
      </c>
      <c r="R49" s="3">
        <f t="shared" si="1"/>
        <v>77673.238566789645</v>
      </c>
      <c r="S49" s="2" t="s">
        <v>49</v>
      </c>
      <c r="T49" s="2" t="s">
        <v>45</v>
      </c>
    </row>
    <row r="50" spans="1:20" x14ac:dyDescent="0.2">
      <c r="A50" s="2" t="s">
        <v>1</v>
      </c>
      <c r="B50" s="2" t="s">
        <v>51</v>
      </c>
      <c r="C50" s="2" t="s">
        <v>53</v>
      </c>
      <c r="D50" s="3">
        <v>443</v>
      </c>
      <c r="E50" s="3">
        <v>25</v>
      </c>
      <c r="F50" s="2" t="s">
        <v>25</v>
      </c>
      <c r="G50" s="3">
        <v>0.11656</v>
      </c>
      <c r="H50" s="3">
        <v>5.4639549778525802E-2</v>
      </c>
      <c r="I50" s="3">
        <v>30</v>
      </c>
      <c r="J50" s="3">
        <v>4.7814776474342236E-7</v>
      </c>
      <c r="K50" s="3">
        <v>119.26666666666668</v>
      </c>
      <c r="L50" s="3">
        <v>11.38400437260789</v>
      </c>
      <c r="M50" s="3">
        <v>30</v>
      </c>
      <c r="N50" s="3">
        <v>8.8590123322249303E-2</v>
      </c>
      <c r="O50" s="3">
        <v>3.1108910000000001</v>
      </c>
      <c r="P50" s="3">
        <v>6.4060880868373098E-3</v>
      </c>
      <c r="Q50" s="3">
        <f t="shared" si="0"/>
        <v>371025.5999333334</v>
      </c>
      <c r="R50" s="3">
        <f t="shared" si="1"/>
        <v>35414.396746706538</v>
      </c>
      <c r="S50" s="2" t="s">
        <v>49</v>
      </c>
      <c r="T50" s="2" t="s">
        <v>45</v>
      </c>
    </row>
    <row r="51" spans="1:20" x14ac:dyDescent="0.2">
      <c r="A51" s="2" t="s">
        <v>2</v>
      </c>
      <c r="B51" s="2" t="s">
        <v>51</v>
      </c>
      <c r="C51" s="2" t="s">
        <v>54</v>
      </c>
      <c r="D51" s="3">
        <v>459</v>
      </c>
      <c r="E51" s="3">
        <v>25</v>
      </c>
      <c r="F51" s="2" t="s">
        <v>25</v>
      </c>
      <c r="G51" s="3">
        <v>7.9579999999999984E-2</v>
      </c>
      <c r="H51" s="3">
        <v>3.1374962416976161E-2</v>
      </c>
      <c r="I51" s="3">
        <v>30</v>
      </c>
      <c r="J51" s="3">
        <v>4.7814776474342236E-7</v>
      </c>
      <c r="K51" s="3">
        <v>118.5</v>
      </c>
      <c r="L51" s="3">
        <v>22.20172665957913</v>
      </c>
      <c r="M51" s="3">
        <v>30</v>
      </c>
      <c r="N51" s="3">
        <v>8.8590123322249303E-2</v>
      </c>
      <c r="O51" s="3">
        <v>2.7349380000000001</v>
      </c>
      <c r="P51" s="3">
        <v>5.7617302638321398E-3</v>
      </c>
      <c r="Q51" s="3">
        <f t="shared" si="0"/>
        <v>324090.15299999999</v>
      </c>
      <c r="R51" s="3">
        <f t="shared" si="1"/>
        <v>60720.345906896029</v>
      </c>
      <c r="S51" s="2" t="s">
        <v>49</v>
      </c>
      <c r="T51" s="2" t="s">
        <v>45</v>
      </c>
    </row>
    <row r="52" spans="1:20" x14ac:dyDescent="0.2">
      <c r="A52" s="2" t="s">
        <v>3</v>
      </c>
      <c r="B52" s="2" t="s">
        <v>45</v>
      </c>
      <c r="C52" s="2" t="s">
        <v>54</v>
      </c>
      <c r="D52" s="3">
        <v>440</v>
      </c>
      <c r="E52" s="3">
        <v>25</v>
      </c>
      <c r="F52" s="2" t="s">
        <v>25</v>
      </c>
      <c r="G52" s="3">
        <v>4.3339999999999997E-2</v>
      </c>
      <c r="H52" s="3">
        <v>1.9798612746014976E-2</v>
      </c>
      <c r="I52" s="3">
        <v>30</v>
      </c>
      <c r="J52" s="3">
        <v>4.7814776474342236E-7</v>
      </c>
      <c r="K52" s="3">
        <v>116.3</v>
      </c>
      <c r="L52" s="3">
        <v>12.636323304928007</v>
      </c>
      <c r="M52" s="3">
        <v>30</v>
      </c>
      <c r="N52" s="3">
        <v>8.8590123322249303E-2</v>
      </c>
      <c r="O52" s="3">
        <v>2.6352500000000001</v>
      </c>
      <c r="P52" s="3">
        <v>5.4676751102052503E-3</v>
      </c>
      <c r="Q52" s="3">
        <f t="shared" si="0"/>
        <v>306479.57500000001</v>
      </c>
      <c r="R52" s="3">
        <f t="shared" si="1"/>
        <v>33299.870989311537</v>
      </c>
      <c r="S52" s="2" t="s">
        <v>49</v>
      </c>
      <c r="T52" s="2" t="s">
        <v>45</v>
      </c>
    </row>
    <row r="53" spans="1:20" x14ac:dyDescent="0.2">
      <c r="A53" s="2" t="s">
        <v>4</v>
      </c>
      <c r="B53" s="2" t="s">
        <v>45</v>
      </c>
      <c r="C53" s="2" t="s">
        <v>53</v>
      </c>
      <c r="D53" s="3">
        <v>440</v>
      </c>
      <c r="E53" s="3">
        <v>25</v>
      </c>
      <c r="F53" s="2" t="s">
        <v>25</v>
      </c>
      <c r="G53" s="3">
        <v>0.13789000000000001</v>
      </c>
      <c r="H53" s="3">
        <v>4.5266229870253909E-2</v>
      </c>
      <c r="I53" s="3">
        <v>30</v>
      </c>
      <c r="J53" s="3">
        <v>4.7814776474342236E-7</v>
      </c>
      <c r="K53" s="3">
        <v>120.6</v>
      </c>
      <c r="L53" s="3">
        <v>12.87529934927081</v>
      </c>
      <c r="M53" s="3">
        <v>30</v>
      </c>
      <c r="N53" s="3">
        <v>8.8590123322249303E-2</v>
      </c>
      <c r="O53" s="3">
        <v>2.8321559999999999</v>
      </c>
      <c r="P53" s="3">
        <v>5.9881684912009301E-3</v>
      </c>
      <c r="Q53" s="3">
        <f t="shared" si="0"/>
        <v>341558.01360000001</v>
      </c>
      <c r="R53" s="3">
        <f t="shared" si="1"/>
        <v>36464.856303833418</v>
      </c>
      <c r="S53" s="2" t="s">
        <v>49</v>
      </c>
      <c r="T53" s="2" t="s">
        <v>45</v>
      </c>
    </row>
    <row r="54" spans="1:20" x14ac:dyDescent="0.2">
      <c r="A54" s="2" t="s">
        <v>5</v>
      </c>
      <c r="B54" s="2" t="s">
        <v>51</v>
      </c>
      <c r="C54" s="2" t="s">
        <v>53</v>
      </c>
      <c r="D54" s="3">
        <v>459</v>
      </c>
      <c r="E54" s="3">
        <v>25</v>
      </c>
      <c r="F54" s="2" t="s">
        <v>25</v>
      </c>
      <c r="G54" s="3">
        <v>0.10066</v>
      </c>
      <c r="H54" s="3">
        <v>4.4504528608521027E-2</v>
      </c>
      <c r="I54" s="3">
        <v>30</v>
      </c>
      <c r="J54" s="3">
        <v>4.7814776474342236E-7</v>
      </c>
      <c r="K54" s="3">
        <v>106.96666666666668</v>
      </c>
      <c r="L54" s="3">
        <v>16.892766367755037</v>
      </c>
      <c r="M54" s="3">
        <v>30</v>
      </c>
      <c r="N54" s="3">
        <v>8.8590123322249303E-2</v>
      </c>
      <c r="O54" s="3">
        <v>2.8922029999999999</v>
      </c>
      <c r="P54" s="3">
        <v>5.99261723338899E-3</v>
      </c>
      <c r="Q54" s="3">
        <f t="shared" si="0"/>
        <v>309369.3142333334</v>
      </c>
      <c r="R54" s="3">
        <f t="shared" si="1"/>
        <v>48857.309567120217</v>
      </c>
      <c r="S54" s="2" t="s">
        <v>49</v>
      </c>
      <c r="T54" s="2" t="s">
        <v>45</v>
      </c>
    </row>
    <row r="55" spans="1:20" x14ac:dyDescent="0.2">
      <c r="A55" s="2" t="s">
        <v>6</v>
      </c>
      <c r="B55" s="2" t="s">
        <v>45</v>
      </c>
      <c r="C55" s="2" t="s">
        <v>54</v>
      </c>
      <c r="D55" s="3">
        <v>446</v>
      </c>
      <c r="E55" s="3">
        <v>25</v>
      </c>
      <c r="F55" s="2" t="s">
        <v>25</v>
      </c>
      <c r="G55" s="3">
        <v>3.2513333333333332E-2</v>
      </c>
      <c r="H55" s="3">
        <v>1.5554264867088883E-2</v>
      </c>
      <c r="I55" s="3">
        <v>30</v>
      </c>
      <c r="J55" s="3">
        <v>4.7814776474342236E-7</v>
      </c>
      <c r="K55" s="3">
        <v>101.7</v>
      </c>
      <c r="L55" s="3">
        <v>27.199448523821214</v>
      </c>
      <c r="M55" s="3">
        <v>30</v>
      </c>
      <c r="N55" s="3">
        <v>8.8590123322249303E-2</v>
      </c>
      <c r="O55" s="3">
        <v>2.6540159999999999</v>
      </c>
      <c r="P55" s="3">
        <v>5.5560723252020498E-3</v>
      </c>
      <c r="Q55" s="3">
        <f t="shared" si="0"/>
        <v>269913.42719999998</v>
      </c>
      <c r="R55" s="3">
        <f t="shared" si="1"/>
        <v>72187.771573397884</v>
      </c>
      <c r="S55" s="2" t="s">
        <v>49</v>
      </c>
      <c r="T55" s="2" t="s">
        <v>45</v>
      </c>
    </row>
    <row r="56" spans="1:20" x14ac:dyDescent="0.2">
      <c r="A56" s="2" t="s">
        <v>7</v>
      </c>
      <c r="B56" s="2" t="s">
        <v>51</v>
      </c>
      <c r="C56" s="2" t="s">
        <v>53</v>
      </c>
      <c r="D56" s="3">
        <v>416</v>
      </c>
      <c r="E56" s="3">
        <v>25</v>
      </c>
      <c r="F56" s="2" t="s">
        <v>25</v>
      </c>
      <c r="G56" s="3">
        <v>0.12121</v>
      </c>
      <c r="H56" s="3">
        <v>6.390376280001045E-2</v>
      </c>
      <c r="I56" s="3">
        <v>30</v>
      </c>
      <c r="J56" s="3">
        <v>4.7814776474342236E-7</v>
      </c>
      <c r="K56" s="3">
        <v>122.56666666666666</v>
      </c>
      <c r="L56" s="3">
        <v>10.180646126624556</v>
      </c>
      <c r="M56" s="3">
        <v>30</v>
      </c>
      <c r="N56" s="3">
        <v>8.8590123322249303E-2</v>
      </c>
      <c r="O56" s="3">
        <v>3.2575159999999999</v>
      </c>
      <c r="P56" s="3">
        <v>6.6159377962023399E-3</v>
      </c>
      <c r="Q56" s="3">
        <f t="shared" si="0"/>
        <v>399262.87773333327</v>
      </c>
      <c r="R56" s="3">
        <f t="shared" si="1"/>
        <v>33163.617647817511</v>
      </c>
      <c r="S56" s="2" t="s">
        <v>49</v>
      </c>
      <c r="T56" s="2" t="s">
        <v>46</v>
      </c>
    </row>
    <row r="57" spans="1:20" x14ac:dyDescent="0.2">
      <c r="A57" s="2" t="s">
        <v>8</v>
      </c>
      <c r="B57" s="2" t="s">
        <v>45</v>
      </c>
      <c r="C57" s="2" t="s">
        <v>54</v>
      </c>
      <c r="D57" s="3">
        <v>494</v>
      </c>
      <c r="E57" s="3">
        <v>25</v>
      </c>
      <c r="F57" s="2" t="s">
        <v>25</v>
      </c>
      <c r="G57" s="3">
        <v>4.7233333333333336E-2</v>
      </c>
      <c r="H57" s="3">
        <v>1.6489639845133738E-2</v>
      </c>
      <c r="I57" s="3">
        <v>30</v>
      </c>
      <c r="J57" s="3">
        <v>4.7814776474342236E-7</v>
      </c>
      <c r="K57" s="3">
        <v>112.8</v>
      </c>
      <c r="L57" s="3">
        <v>15.691611347043574</v>
      </c>
      <c r="M57" s="3">
        <v>30</v>
      </c>
      <c r="N57" s="3">
        <v>8.8590123322249303E-2</v>
      </c>
      <c r="O57" s="3">
        <v>2.6745939999999999</v>
      </c>
      <c r="P57" s="3">
        <v>5.5396363908307503E-3</v>
      </c>
      <c r="Q57" s="3">
        <f t="shared" si="0"/>
        <v>301694.20319999999</v>
      </c>
      <c r="R57" s="3">
        <f t="shared" si="1"/>
        <v>41968.689559134662</v>
      </c>
      <c r="S57" s="2" t="s">
        <v>49</v>
      </c>
      <c r="T57" s="2" t="s">
        <v>45</v>
      </c>
    </row>
    <row r="58" spans="1:20" x14ac:dyDescent="0.2">
      <c r="A58" s="2" t="s">
        <v>9</v>
      </c>
      <c r="B58" s="2" t="s">
        <v>51</v>
      </c>
      <c r="C58" s="2" t="s">
        <v>53</v>
      </c>
      <c r="D58" s="3">
        <v>480</v>
      </c>
      <c r="E58" s="3">
        <v>25</v>
      </c>
      <c r="F58" s="2" t="s">
        <v>25</v>
      </c>
      <c r="G58" s="3">
        <v>0.12841666666666668</v>
      </c>
      <c r="H58" s="3">
        <v>4.7024632434029254E-2</v>
      </c>
      <c r="I58" s="3">
        <v>30</v>
      </c>
      <c r="J58" s="3">
        <v>4.7814776474342236E-7</v>
      </c>
      <c r="K58" s="3">
        <v>124.66666666666669</v>
      </c>
      <c r="L58" s="3">
        <v>10.060925515191046</v>
      </c>
      <c r="M58" s="3">
        <v>30</v>
      </c>
      <c r="N58" s="3">
        <v>8.8590123322249303E-2</v>
      </c>
      <c r="O58" s="3">
        <v>2.9852029999999998</v>
      </c>
      <c r="P58" s="3">
        <v>6.2794417123755303E-3</v>
      </c>
      <c r="Q58" s="3">
        <f t="shared" si="0"/>
        <v>372155.30733333336</v>
      </c>
      <c r="R58" s="3">
        <f t="shared" si="1"/>
        <v>30033.905030724854</v>
      </c>
      <c r="S58" s="2" t="s">
        <v>49</v>
      </c>
      <c r="T58" s="2" t="s">
        <v>45</v>
      </c>
    </row>
    <row r="59" spans="1:20" x14ac:dyDescent="0.2">
      <c r="A59" s="2" t="s">
        <v>10</v>
      </c>
      <c r="B59" s="2" t="s">
        <v>45</v>
      </c>
      <c r="C59" s="2" t="s">
        <v>54</v>
      </c>
      <c r="D59" s="3">
        <v>480</v>
      </c>
      <c r="E59" s="3">
        <v>25</v>
      </c>
      <c r="F59" s="2" t="s">
        <v>25</v>
      </c>
      <c r="G59" s="3">
        <v>3.906666666666668E-2</v>
      </c>
      <c r="H59" s="3">
        <v>2.7639335898116089E-2</v>
      </c>
      <c r="I59" s="3">
        <v>30</v>
      </c>
      <c r="J59" s="3">
        <v>4.7814776474342236E-7</v>
      </c>
      <c r="K59" s="3">
        <v>110.83333333333331</v>
      </c>
      <c r="L59" s="3">
        <v>21.608768796229203</v>
      </c>
      <c r="M59" s="3">
        <v>30</v>
      </c>
      <c r="N59" s="3">
        <v>8.8590123322249303E-2</v>
      </c>
      <c r="O59" s="3">
        <v>2.5140159999999998</v>
      </c>
      <c r="P59" s="3">
        <v>5.4503923164841003E-3</v>
      </c>
      <c r="Q59" s="3">
        <f t="shared" si="0"/>
        <v>278636.77333333326</v>
      </c>
      <c r="R59" s="3">
        <f t="shared" si="1"/>
        <v>54324.790494020956</v>
      </c>
      <c r="S59" s="2" t="s">
        <v>49</v>
      </c>
      <c r="T59" s="2" t="s">
        <v>45</v>
      </c>
    </row>
    <row r="60" spans="1:20" x14ac:dyDescent="0.2">
      <c r="A60" s="2" t="s">
        <v>11</v>
      </c>
      <c r="B60" s="2" t="s">
        <v>45</v>
      </c>
      <c r="C60" s="2" t="s">
        <v>53</v>
      </c>
      <c r="D60" s="3">
        <v>480</v>
      </c>
      <c r="E60" s="3">
        <v>25</v>
      </c>
      <c r="F60" s="2" t="s">
        <v>25</v>
      </c>
      <c r="G60" s="3">
        <v>0.13357666666666665</v>
      </c>
      <c r="H60" s="3">
        <v>4.1295073825121341E-2</v>
      </c>
      <c r="I60" s="3">
        <v>30</v>
      </c>
      <c r="J60" s="3">
        <v>4.7814776474342236E-7</v>
      </c>
      <c r="K60" s="3">
        <v>118.93333333333334</v>
      </c>
      <c r="L60" s="3">
        <v>14.982063349960251</v>
      </c>
      <c r="M60" s="3">
        <v>30</v>
      </c>
      <c r="N60" s="3">
        <v>8.8590123322249303E-2</v>
      </c>
      <c r="O60" s="3">
        <v>2.8132969999999999</v>
      </c>
      <c r="P60" s="3">
        <v>6.0778311301317497E-3</v>
      </c>
      <c r="Q60" s="3">
        <f t="shared" si="0"/>
        <v>334594.78986666666</v>
      </c>
      <c r="R60" s="3">
        <f t="shared" si="1"/>
        <v>42148.993876253124</v>
      </c>
      <c r="S60" s="2" t="s">
        <v>49</v>
      </c>
      <c r="T60" s="2" t="s">
        <v>45</v>
      </c>
    </row>
    <row r="61" spans="1:20" x14ac:dyDescent="0.2">
      <c r="A61" s="2" t="s">
        <v>12</v>
      </c>
      <c r="B61" s="2" t="s">
        <v>51</v>
      </c>
      <c r="C61" s="2" t="s">
        <v>54</v>
      </c>
      <c r="D61" s="3">
        <v>416</v>
      </c>
      <c r="E61" s="3">
        <v>25</v>
      </c>
      <c r="F61" s="2" t="s">
        <v>25</v>
      </c>
      <c r="G61" s="3">
        <v>5.9919999999999987E-2</v>
      </c>
      <c r="H61" s="3">
        <v>2.905668483040234E-2</v>
      </c>
      <c r="I61" s="3">
        <v>30</v>
      </c>
      <c r="J61" s="3">
        <v>4.7814776474342236E-7</v>
      </c>
      <c r="K61" s="3">
        <v>116.43333333333334</v>
      </c>
      <c r="L61" s="3">
        <v>18.999444436322047</v>
      </c>
      <c r="M61" s="3">
        <v>30</v>
      </c>
      <c r="N61" s="3">
        <v>8.8590123322249303E-2</v>
      </c>
      <c r="O61" s="3">
        <v>3.1459999999999999</v>
      </c>
      <c r="P61" s="3">
        <v>6.2378609796487202E-3</v>
      </c>
      <c r="Q61" s="3">
        <f t="shared" si="0"/>
        <v>366299.26666666666</v>
      </c>
      <c r="R61" s="3">
        <f t="shared" si="1"/>
        <v>59772.252196669157</v>
      </c>
      <c r="S61" s="2" t="s">
        <v>49</v>
      </c>
      <c r="T61" s="2" t="s">
        <v>46</v>
      </c>
    </row>
    <row r="62" spans="1:20" x14ac:dyDescent="0.2">
      <c r="A62" s="2" t="s">
        <v>13</v>
      </c>
      <c r="B62" s="2" t="s">
        <v>45</v>
      </c>
      <c r="C62" s="2" t="s">
        <v>54</v>
      </c>
      <c r="D62" s="3">
        <v>416</v>
      </c>
      <c r="E62" s="3">
        <v>25</v>
      </c>
      <c r="F62" s="2" t="s">
        <v>25</v>
      </c>
      <c r="G62" s="3">
        <v>4.5843333333333326E-2</v>
      </c>
      <c r="H62" s="3">
        <v>1.9141311054598348E-2</v>
      </c>
      <c r="I62" s="3">
        <v>30</v>
      </c>
      <c r="J62" s="3">
        <v>4.7814776474342236E-7</v>
      </c>
      <c r="K62" s="3">
        <v>113.1</v>
      </c>
      <c r="L62" s="3">
        <v>12.809761902549164</v>
      </c>
      <c r="M62" s="3">
        <v>30</v>
      </c>
      <c r="N62" s="3">
        <v>8.8590123322249303E-2</v>
      </c>
      <c r="O62" s="3">
        <v>2.9196879999999998</v>
      </c>
      <c r="P62" s="3">
        <v>5.7412461832128704E-3</v>
      </c>
      <c r="Q62" s="3">
        <f t="shared" si="0"/>
        <v>330216.71279999998</v>
      </c>
      <c r="R62" s="3">
        <f t="shared" si="1"/>
        <v>37400.508109729963</v>
      </c>
      <c r="S62" s="2" t="s">
        <v>49</v>
      </c>
      <c r="T62" s="2" t="s">
        <v>46</v>
      </c>
    </row>
    <row r="63" spans="1:20" x14ac:dyDescent="0.2">
      <c r="A63" s="2" t="s">
        <v>14</v>
      </c>
      <c r="B63" s="2" t="s">
        <v>45</v>
      </c>
      <c r="C63" s="2" t="s">
        <v>53</v>
      </c>
      <c r="D63" s="3">
        <v>416</v>
      </c>
      <c r="E63" s="3">
        <v>25</v>
      </c>
      <c r="F63" s="2" t="s">
        <v>25</v>
      </c>
      <c r="G63" s="3">
        <v>0.11419</v>
      </c>
      <c r="H63" s="3">
        <v>3.9065196360272746E-2</v>
      </c>
      <c r="I63" s="3">
        <v>30</v>
      </c>
      <c r="J63" s="3">
        <v>4.7814776474342236E-7</v>
      </c>
      <c r="K63" s="3">
        <v>117.56666666666666</v>
      </c>
      <c r="L63" s="3">
        <v>20.784101830218425</v>
      </c>
      <c r="M63" s="3">
        <v>30</v>
      </c>
      <c r="N63" s="3">
        <v>8.8590123322249303E-2</v>
      </c>
      <c r="O63" s="3">
        <v>3.205781</v>
      </c>
      <c r="P63" s="3">
        <v>6.5370536818603201E-3</v>
      </c>
      <c r="Q63" s="3">
        <f t="shared" si="0"/>
        <v>376892.9862333333</v>
      </c>
      <c r="R63" s="3">
        <f t="shared" si="1"/>
        <v>66629.278749379446</v>
      </c>
      <c r="S63" s="2" t="s">
        <v>49</v>
      </c>
      <c r="T63" s="2" t="s">
        <v>46</v>
      </c>
    </row>
    <row r="64" spans="1:20" x14ac:dyDescent="0.2">
      <c r="A64" s="2" t="s">
        <v>15</v>
      </c>
      <c r="B64" s="2" t="s">
        <v>51</v>
      </c>
      <c r="C64" s="2" t="s">
        <v>53</v>
      </c>
      <c r="D64" s="3">
        <v>432</v>
      </c>
      <c r="E64" s="3">
        <v>25</v>
      </c>
      <c r="F64" s="2" t="s">
        <v>25</v>
      </c>
      <c r="G64" s="3">
        <v>0.10204000000000001</v>
      </c>
      <c r="H64" s="3">
        <v>7.4143449249860674E-2</v>
      </c>
      <c r="I64" s="3">
        <v>30</v>
      </c>
      <c r="J64" s="3">
        <v>4.7814776474342236E-7</v>
      </c>
      <c r="K64" s="3">
        <v>109.3</v>
      </c>
      <c r="L64" s="3">
        <v>16.943336940126837</v>
      </c>
      <c r="M64" s="3">
        <v>30</v>
      </c>
      <c r="N64" s="3">
        <v>8.8590123322249303E-2</v>
      </c>
      <c r="O64" s="3">
        <v>3.4621409999999999</v>
      </c>
      <c r="P64" s="3">
        <v>6.9724992338094302E-3</v>
      </c>
      <c r="Q64" s="3">
        <f t="shared" si="0"/>
        <v>378412.01130000001</v>
      </c>
      <c r="R64" s="3">
        <f t="shared" si="1"/>
        <v>58660.221497227663</v>
      </c>
      <c r="S64" s="2" t="s">
        <v>49</v>
      </c>
      <c r="T64" s="2" t="s">
        <v>45</v>
      </c>
    </row>
    <row r="65" spans="1:20" x14ac:dyDescent="0.2">
      <c r="A65" s="2" t="s">
        <v>16</v>
      </c>
      <c r="B65" s="2" t="s">
        <v>45</v>
      </c>
      <c r="C65" s="2" t="s">
        <v>53</v>
      </c>
      <c r="D65" s="3">
        <v>432</v>
      </c>
      <c r="E65" s="3">
        <v>25</v>
      </c>
      <c r="F65" s="2" t="s">
        <v>25</v>
      </c>
      <c r="G65" s="3">
        <v>0.15489</v>
      </c>
      <c r="H65" s="3">
        <v>3.3643952898948518E-2</v>
      </c>
      <c r="I65" s="3">
        <v>30</v>
      </c>
      <c r="J65" s="3">
        <v>4.7814776474342236E-7</v>
      </c>
      <c r="K65" s="3">
        <v>133.93333333333334</v>
      </c>
      <c r="L65" s="3">
        <v>15.951872060113264</v>
      </c>
      <c r="M65" s="3">
        <v>30</v>
      </c>
      <c r="N65" s="3">
        <v>8.8590123322249303E-2</v>
      </c>
      <c r="O65" s="3">
        <v>2.871578</v>
      </c>
      <c r="P65" s="3">
        <v>6.1140702944674696E-3</v>
      </c>
      <c r="Q65" s="3">
        <f t="shared" si="0"/>
        <v>384600.01346666669</v>
      </c>
      <c r="R65" s="3">
        <f t="shared" si="1"/>
        <v>45807.044866635923</v>
      </c>
      <c r="S65" s="2" t="s">
        <v>49</v>
      </c>
      <c r="T65" s="2" t="s">
        <v>45</v>
      </c>
    </row>
    <row r="66" spans="1:20" x14ac:dyDescent="0.2">
      <c r="A66" s="2" t="s">
        <v>1</v>
      </c>
      <c r="B66" s="2" t="s">
        <v>51</v>
      </c>
      <c r="C66" s="2" t="s">
        <v>53</v>
      </c>
      <c r="D66" s="3">
        <v>443</v>
      </c>
      <c r="E66" s="3">
        <v>26</v>
      </c>
      <c r="F66" s="2" t="s">
        <v>27</v>
      </c>
      <c r="G66" s="3">
        <v>0.13356666666666667</v>
      </c>
      <c r="H66" s="3">
        <v>5.9336123529900031E-2</v>
      </c>
      <c r="I66" s="3">
        <v>30</v>
      </c>
      <c r="J66" s="3">
        <v>5.185501307575923E-9</v>
      </c>
      <c r="K66" s="3">
        <v>113.4</v>
      </c>
      <c r="L66" s="3">
        <v>10.898317913023703</v>
      </c>
      <c r="M66" s="3">
        <v>30</v>
      </c>
      <c r="N66" s="3">
        <v>0.69469354881693612</v>
      </c>
      <c r="O66" s="3">
        <v>3.0232809999999999</v>
      </c>
      <c r="P66" s="3">
        <v>6.2256775943810303E-3</v>
      </c>
      <c r="Q66" s="3">
        <f t="shared" si="0"/>
        <v>342840.06539999996</v>
      </c>
      <c r="R66" s="3">
        <f t="shared" si="1"/>
        <v>32948.677478404214</v>
      </c>
      <c r="S66" s="2" t="s">
        <v>49</v>
      </c>
      <c r="T66" s="2" t="s">
        <v>45</v>
      </c>
    </row>
    <row r="67" spans="1:20" x14ac:dyDescent="0.2">
      <c r="A67" s="2" t="s">
        <v>2</v>
      </c>
      <c r="B67" s="2" t="s">
        <v>51</v>
      </c>
      <c r="C67" s="2" t="s">
        <v>54</v>
      </c>
      <c r="D67" s="3">
        <v>459</v>
      </c>
      <c r="E67" s="3">
        <v>26</v>
      </c>
      <c r="F67" s="2" t="s">
        <v>27</v>
      </c>
      <c r="G67" s="3">
        <v>5.5276666666666661E-2</v>
      </c>
      <c r="H67" s="3">
        <v>2.4449630990171518E-2</v>
      </c>
      <c r="I67" s="3">
        <v>30</v>
      </c>
      <c r="J67" s="3">
        <v>5.185501307575923E-9</v>
      </c>
      <c r="K67" s="3">
        <v>126.66666666666669</v>
      </c>
      <c r="L67" s="3">
        <v>16.767693805516473</v>
      </c>
      <c r="M67" s="3">
        <v>30</v>
      </c>
      <c r="N67" s="3">
        <v>0.69469354881693612</v>
      </c>
      <c r="O67" s="3">
        <v>2.7382659999999999</v>
      </c>
      <c r="P67" s="3">
        <v>5.7687414057000803E-3</v>
      </c>
      <c r="Q67" s="3">
        <f t="shared" si="0"/>
        <v>346847.02666666673</v>
      </c>
      <c r="R67" s="3">
        <f t="shared" si="1"/>
        <v>45914.405846056368</v>
      </c>
      <c r="S67" s="2" t="s">
        <v>49</v>
      </c>
      <c r="T67" s="2" t="s">
        <v>45</v>
      </c>
    </row>
    <row r="68" spans="1:20" x14ac:dyDescent="0.2">
      <c r="A68" s="2" t="s">
        <v>3</v>
      </c>
      <c r="B68" s="2" t="s">
        <v>45</v>
      </c>
      <c r="C68" s="2" t="s">
        <v>54</v>
      </c>
      <c r="D68" s="3">
        <v>440</v>
      </c>
      <c r="E68" s="3">
        <v>26</v>
      </c>
      <c r="F68" s="2" t="s">
        <v>27</v>
      </c>
      <c r="G68" s="3">
        <v>3.2353333333333331E-2</v>
      </c>
      <c r="H68" s="3">
        <v>1.3118224812154355E-2</v>
      </c>
      <c r="I68" s="3">
        <v>30</v>
      </c>
      <c r="J68" s="3">
        <v>5.185501307575923E-9</v>
      </c>
      <c r="K68" s="3">
        <v>129.16666666666666</v>
      </c>
      <c r="L68" s="3">
        <v>14.040615687671565</v>
      </c>
      <c r="M68" s="3">
        <v>30</v>
      </c>
      <c r="N68" s="3">
        <v>0.69469354881693612</v>
      </c>
      <c r="O68" s="3">
        <v>2.6781250000000001</v>
      </c>
      <c r="P68" s="3">
        <v>5.5566331105278196E-3</v>
      </c>
      <c r="Q68" s="3">
        <f t="shared" ref="Q68:Q130" si="2">K68*1000*O68</f>
        <v>345924.47916666663</v>
      </c>
      <c r="R68" s="3">
        <f t="shared" ref="R68:R130" si="3">L68*1000*O68</f>
        <v>37602.523888545409</v>
      </c>
      <c r="S68" s="2" t="s">
        <v>49</v>
      </c>
      <c r="T68" s="2" t="s">
        <v>45</v>
      </c>
    </row>
    <row r="69" spans="1:20" x14ac:dyDescent="0.2">
      <c r="A69" s="2" t="s">
        <v>4</v>
      </c>
      <c r="B69" s="2" t="s">
        <v>45</v>
      </c>
      <c r="C69" s="2" t="s">
        <v>53</v>
      </c>
      <c r="D69" s="3">
        <v>440</v>
      </c>
      <c r="E69" s="3">
        <v>26</v>
      </c>
      <c r="F69" s="2" t="s">
        <v>27</v>
      </c>
      <c r="G69" s="3">
        <v>0.12917333333333331</v>
      </c>
      <c r="H69" s="3">
        <v>4.1205508801076041E-2</v>
      </c>
      <c r="I69" s="3">
        <v>30</v>
      </c>
      <c r="J69" s="3">
        <v>5.185501307575923E-9</v>
      </c>
      <c r="K69" s="3">
        <v>129.6</v>
      </c>
      <c r="L69" s="3">
        <v>13.197474505879271</v>
      </c>
      <c r="M69" s="3">
        <v>30</v>
      </c>
      <c r="N69" s="3">
        <v>0.69469354881693612</v>
      </c>
      <c r="O69" s="3">
        <v>2.9656560000000001</v>
      </c>
      <c r="P69" s="3">
        <v>6.2704341903980498E-3</v>
      </c>
      <c r="Q69" s="3">
        <f t="shared" si="2"/>
        <v>384349.01760000002</v>
      </c>
      <c r="R69" s="3">
        <f t="shared" si="3"/>
        <v>39139.169453207898</v>
      </c>
      <c r="S69" s="2" t="s">
        <v>49</v>
      </c>
      <c r="T69" s="2" t="s">
        <v>45</v>
      </c>
    </row>
    <row r="70" spans="1:20" x14ac:dyDescent="0.2">
      <c r="A70" s="2" t="s">
        <v>5</v>
      </c>
      <c r="B70" s="2" t="s">
        <v>51</v>
      </c>
      <c r="C70" s="2" t="s">
        <v>53</v>
      </c>
      <c r="D70" s="3">
        <v>459</v>
      </c>
      <c r="E70" s="3">
        <v>26</v>
      </c>
      <c r="F70" s="2" t="s">
        <v>27</v>
      </c>
      <c r="G70" s="3">
        <v>8.8853333333333326E-2</v>
      </c>
      <c r="H70" s="3">
        <v>5.1762893616523753E-2</v>
      </c>
      <c r="I70" s="3">
        <v>30</v>
      </c>
      <c r="J70" s="3">
        <v>5.185501307575923E-9</v>
      </c>
      <c r="K70" s="3">
        <v>97.5</v>
      </c>
      <c r="L70" s="3">
        <v>17.955036433639819</v>
      </c>
      <c r="M70" s="3">
        <v>30</v>
      </c>
      <c r="N70" s="3">
        <v>0.69469354881693612</v>
      </c>
      <c r="O70" s="3">
        <v>3.0403440000000002</v>
      </c>
      <c r="P70" s="3">
        <v>6.2995639828292904E-3</v>
      </c>
      <c r="Q70" s="3">
        <f t="shared" si="2"/>
        <v>296433.54000000004</v>
      </c>
      <c r="R70" s="3">
        <f t="shared" si="3"/>
        <v>54589.487290798228</v>
      </c>
      <c r="S70" s="2" t="s">
        <v>49</v>
      </c>
      <c r="T70" s="2" t="s">
        <v>45</v>
      </c>
    </row>
    <row r="71" spans="1:20" x14ac:dyDescent="0.2">
      <c r="A71" s="2" t="s">
        <v>6</v>
      </c>
      <c r="B71" s="2" t="s">
        <v>45</v>
      </c>
      <c r="C71" s="2" t="s">
        <v>54</v>
      </c>
      <c r="D71" s="3">
        <v>446</v>
      </c>
      <c r="E71" s="3">
        <v>26</v>
      </c>
      <c r="F71" s="2" t="s">
        <v>27</v>
      </c>
      <c r="G71" s="3">
        <v>2.0899999999999998E-2</v>
      </c>
      <c r="H71" s="3">
        <v>1.676078757099439E-2</v>
      </c>
      <c r="I71" s="3">
        <v>30</v>
      </c>
      <c r="J71" s="3">
        <v>5.185501307575923E-9</v>
      </c>
      <c r="K71" s="3">
        <v>107.4</v>
      </c>
      <c r="L71" s="3">
        <v>37.506977128706779</v>
      </c>
      <c r="M71" s="3">
        <v>30</v>
      </c>
      <c r="N71" s="3">
        <v>0.69469354881693612</v>
      </c>
      <c r="O71" s="3">
        <v>2.7971879999999998</v>
      </c>
      <c r="P71" s="3">
        <v>5.8557969639924101E-3</v>
      </c>
      <c r="Q71" s="3">
        <f t="shared" si="2"/>
        <v>300417.99119999999</v>
      </c>
      <c r="R71" s="3">
        <f t="shared" si="3"/>
        <v>104914.06634069304</v>
      </c>
      <c r="S71" s="2" t="s">
        <v>49</v>
      </c>
      <c r="T71" s="2" t="s">
        <v>45</v>
      </c>
    </row>
    <row r="72" spans="1:20" x14ac:dyDescent="0.2">
      <c r="A72" s="2" t="s">
        <v>7</v>
      </c>
      <c r="B72" s="2" t="s">
        <v>51</v>
      </c>
      <c r="C72" s="2" t="s">
        <v>53</v>
      </c>
      <c r="D72" s="3">
        <v>416</v>
      </c>
      <c r="E72" s="3">
        <v>26</v>
      </c>
      <c r="F72" s="2" t="s">
        <v>27</v>
      </c>
      <c r="G72" s="3">
        <v>0.13346</v>
      </c>
      <c r="H72" s="3">
        <v>4.9774287873693715E-2</v>
      </c>
      <c r="I72" s="3">
        <v>30</v>
      </c>
      <c r="J72" s="3">
        <v>5.185501307575923E-9</v>
      </c>
      <c r="K72" s="3">
        <v>125.53333333333332</v>
      </c>
      <c r="L72" s="3">
        <v>10.09862476885948</v>
      </c>
      <c r="M72" s="3">
        <v>30</v>
      </c>
      <c r="N72" s="3">
        <v>0.69469354881693612</v>
      </c>
      <c r="O72" s="3">
        <v>3.3174060000000001</v>
      </c>
      <c r="P72" s="3">
        <v>6.7375729668705904E-3</v>
      </c>
      <c r="Q72" s="3">
        <f t="shared" si="2"/>
        <v>416445.03319999995</v>
      </c>
      <c r="R72" s="3">
        <f t="shared" si="3"/>
        <v>33501.238399963047</v>
      </c>
      <c r="S72" s="2" t="s">
        <v>49</v>
      </c>
      <c r="T72" s="2" t="s">
        <v>46</v>
      </c>
    </row>
    <row r="73" spans="1:20" x14ac:dyDescent="0.2">
      <c r="A73" s="2" t="s">
        <v>8</v>
      </c>
      <c r="B73" s="2" t="s">
        <v>45</v>
      </c>
      <c r="C73" s="2" t="s">
        <v>54</v>
      </c>
      <c r="D73" s="3">
        <v>494</v>
      </c>
      <c r="E73" s="3">
        <v>26</v>
      </c>
      <c r="F73" s="2" t="s">
        <v>27</v>
      </c>
      <c r="G73" s="3">
        <v>2.4713333333333334E-2</v>
      </c>
      <c r="H73" s="3">
        <v>1.4988856601563115E-2</v>
      </c>
      <c r="I73" s="3">
        <v>30</v>
      </c>
      <c r="J73" s="3">
        <v>5.185501307575923E-9</v>
      </c>
      <c r="K73" s="3">
        <v>133.03333333333333</v>
      </c>
      <c r="L73" s="3">
        <v>10.971123714349208</v>
      </c>
      <c r="M73" s="3">
        <v>30</v>
      </c>
      <c r="N73" s="3">
        <v>0.69469354881693612</v>
      </c>
      <c r="O73" s="3">
        <v>2.7497029999999998</v>
      </c>
      <c r="P73" s="3">
        <v>5.6952026374008499E-3</v>
      </c>
      <c r="Q73" s="3">
        <f t="shared" si="2"/>
        <v>365802.15576666669</v>
      </c>
      <c r="R73" s="3">
        <f t="shared" si="3"/>
        <v>30167.331790717155</v>
      </c>
      <c r="S73" s="2" t="s">
        <v>49</v>
      </c>
      <c r="T73" s="2" t="s">
        <v>45</v>
      </c>
    </row>
    <row r="74" spans="1:20" x14ac:dyDescent="0.2">
      <c r="A74" s="2" t="s">
        <v>9</v>
      </c>
      <c r="B74" s="2" t="s">
        <v>51</v>
      </c>
      <c r="C74" s="2" t="s">
        <v>53</v>
      </c>
      <c r="D74" s="3">
        <v>480</v>
      </c>
      <c r="E74" s="3">
        <v>26</v>
      </c>
      <c r="F74" s="2" t="s">
        <v>27</v>
      </c>
      <c r="G74" s="3">
        <v>0.13341</v>
      </c>
      <c r="H74" s="3">
        <v>6.6238097547156857E-2</v>
      </c>
      <c r="I74" s="3">
        <v>30</v>
      </c>
      <c r="J74" s="3">
        <v>5.185501307575923E-9</v>
      </c>
      <c r="K74" s="3">
        <v>128.80000000000001</v>
      </c>
      <c r="L74" s="3">
        <v>11.614358929072811</v>
      </c>
      <c r="M74" s="3">
        <v>30</v>
      </c>
      <c r="N74" s="3">
        <v>0.69469354881693612</v>
      </c>
      <c r="O74" s="3">
        <v>3.055609</v>
      </c>
      <c r="P74" s="3">
        <v>6.4275423183314797E-3</v>
      </c>
      <c r="Q74" s="3">
        <f t="shared" si="2"/>
        <v>393562.43920000002</v>
      </c>
      <c r="R74" s="3">
        <f t="shared" si="3"/>
        <v>35488.939672905239</v>
      </c>
      <c r="S74" s="2" t="s">
        <v>49</v>
      </c>
      <c r="T74" s="2" t="s">
        <v>45</v>
      </c>
    </row>
    <row r="75" spans="1:20" x14ac:dyDescent="0.2">
      <c r="A75" s="2" t="s">
        <v>10</v>
      </c>
      <c r="B75" s="2" t="s">
        <v>45</v>
      </c>
      <c r="C75" s="2" t="s">
        <v>54</v>
      </c>
      <c r="D75" s="3">
        <v>480</v>
      </c>
      <c r="E75" s="3">
        <v>26</v>
      </c>
      <c r="F75" s="2" t="s">
        <v>27</v>
      </c>
      <c r="G75" s="3">
        <v>1.8519999999999998E-2</v>
      </c>
      <c r="H75" s="3">
        <v>1.4228056789315963E-2</v>
      </c>
      <c r="I75" s="3">
        <v>30</v>
      </c>
      <c r="J75" s="3">
        <v>5.185501307575923E-9</v>
      </c>
      <c r="K75" s="3">
        <v>130.96666666666667</v>
      </c>
      <c r="L75" s="3">
        <v>13.79488633113332</v>
      </c>
      <c r="M75" s="3">
        <v>30</v>
      </c>
      <c r="N75" s="3">
        <v>0.69469354881693612</v>
      </c>
      <c r="O75" s="3">
        <v>2.638531</v>
      </c>
      <c r="P75" s="3">
        <v>5.7203411152534902E-3</v>
      </c>
      <c r="Q75" s="3">
        <f t="shared" si="2"/>
        <v>345559.60996666667</v>
      </c>
      <c r="R75" s="3">
        <f t="shared" si="3"/>
        <v>36398.235226171528</v>
      </c>
      <c r="S75" s="2" t="s">
        <v>49</v>
      </c>
      <c r="T75" s="2" t="s">
        <v>45</v>
      </c>
    </row>
    <row r="76" spans="1:20" x14ac:dyDescent="0.2">
      <c r="A76" s="2" t="s">
        <v>11</v>
      </c>
      <c r="B76" s="2" t="s">
        <v>45</v>
      </c>
      <c r="C76" s="2" t="s">
        <v>53</v>
      </c>
      <c r="D76" s="3">
        <v>480</v>
      </c>
      <c r="E76" s="3">
        <v>26</v>
      </c>
      <c r="F76" s="2" t="s">
        <v>27</v>
      </c>
      <c r="G76" s="3">
        <v>0.10979333333333334</v>
      </c>
      <c r="H76" s="3">
        <v>4.4516341069569296E-2</v>
      </c>
      <c r="I76" s="3">
        <v>30</v>
      </c>
      <c r="J76" s="3">
        <v>5.185501307575923E-9</v>
      </c>
      <c r="K76" s="3">
        <v>131.5</v>
      </c>
      <c r="L76" s="3">
        <v>14.948244044034068</v>
      </c>
      <c r="M76" s="3">
        <v>30</v>
      </c>
      <c r="N76" s="3">
        <v>0.69469354881693612</v>
      </c>
      <c r="O76" s="3">
        <v>2.985328</v>
      </c>
      <c r="P76" s="3">
        <v>6.44948594195847E-3</v>
      </c>
      <c r="Q76" s="3">
        <f t="shared" si="2"/>
        <v>392570.63199999998</v>
      </c>
      <c r="R76" s="3">
        <f t="shared" si="3"/>
        <v>44625.41149548813</v>
      </c>
      <c r="S76" s="2" t="s">
        <v>49</v>
      </c>
      <c r="T76" s="2" t="s">
        <v>45</v>
      </c>
    </row>
    <row r="77" spans="1:20" x14ac:dyDescent="0.2">
      <c r="A77" s="2" t="s">
        <v>12</v>
      </c>
      <c r="B77" s="2" t="s">
        <v>51</v>
      </c>
      <c r="C77" s="2" t="s">
        <v>54</v>
      </c>
      <c r="D77" s="3">
        <v>416</v>
      </c>
      <c r="E77" s="3">
        <v>26</v>
      </c>
      <c r="F77" s="2" t="s">
        <v>27</v>
      </c>
      <c r="G77" s="3">
        <v>3.9926666666666666E-2</v>
      </c>
      <c r="H77" s="3">
        <v>1.7163681293812103E-2</v>
      </c>
      <c r="I77" s="3">
        <v>30</v>
      </c>
      <c r="J77" s="3">
        <v>5.185501307575923E-9</v>
      </c>
      <c r="K77" s="3">
        <v>135.43333333333334</v>
      </c>
      <c r="L77" s="3">
        <v>18.038261803424653</v>
      </c>
      <c r="M77" s="3">
        <v>30</v>
      </c>
      <c r="N77" s="3">
        <v>0.69469354881693612</v>
      </c>
      <c r="O77" s="3">
        <v>3.0942340000000002</v>
      </c>
      <c r="P77" s="3">
        <v>6.1352198126199504E-3</v>
      </c>
      <c r="Q77" s="3">
        <f t="shared" si="2"/>
        <v>419062.42473333341</v>
      </c>
      <c r="R77" s="3">
        <f t="shared" si="3"/>
        <v>55814.602973057874</v>
      </c>
      <c r="S77" s="2" t="s">
        <v>49</v>
      </c>
      <c r="T77" s="2" t="s">
        <v>46</v>
      </c>
    </row>
    <row r="78" spans="1:20" x14ac:dyDescent="0.2">
      <c r="A78" s="2" t="s">
        <v>13</v>
      </c>
      <c r="B78" s="2" t="s">
        <v>45</v>
      </c>
      <c r="C78" s="2" t="s">
        <v>54</v>
      </c>
      <c r="D78" s="3">
        <v>416</v>
      </c>
      <c r="E78" s="3">
        <v>26</v>
      </c>
      <c r="F78" s="2" t="s">
        <v>27</v>
      </c>
      <c r="G78" s="3">
        <v>3.7306666666666669E-2</v>
      </c>
      <c r="H78" s="3">
        <v>1.6632396767219757E-2</v>
      </c>
      <c r="I78" s="3">
        <v>30</v>
      </c>
      <c r="J78" s="3">
        <v>5.185501307575923E-9</v>
      </c>
      <c r="K78" s="3">
        <v>119</v>
      </c>
      <c r="L78" s="3">
        <v>17.798876369029593</v>
      </c>
      <c r="M78" s="3">
        <v>30</v>
      </c>
      <c r="N78" s="3">
        <v>0.69469354881693612</v>
      </c>
      <c r="O78" s="3">
        <v>2.9846249999999999</v>
      </c>
      <c r="P78" s="3">
        <v>5.8689376705907299E-3</v>
      </c>
      <c r="Q78" s="3">
        <f t="shared" si="2"/>
        <v>355170.375</v>
      </c>
      <c r="R78" s="3">
        <f t="shared" si="3"/>
        <v>53122.971382914948</v>
      </c>
      <c r="S78" s="2" t="s">
        <v>49</v>
      </c>
      <c r="T78" s="2" t="s">
        <v>46</v>
      </c>
    </row>
    <row r="79" spans="1:20" x14ac:dyDescent="0.2">
      <c r="A79" s="2" t="s">
        <v>14</v>
      </c>
      <c r="B79" s="2" t="s">
        <v>45</v>
      </c>
      <c r="C79" s="2" t="s">
        <v>53</v>
      </c>
      <c r="D79" s="3">
        <v>416</v>
      </c>
      <c r="E79" s="3">
        <v>26</v>
      </c>
      <c r="F79" s="2" t="s">
        <v>27</v>
      </c>
      <c r="G79" s="3">
        <v>0.13099333333333332</v>
      </c>
      <c r="H79" s="3">
        <v>5.1941569308427929E-2</v>
      </c>
      <c r="I79" s="3">
        <v>30</v>
      </c>
      <c r="J79" s="3">
        <v>5.185501307575923E-9</v>
      </c>
      <c r="K79" s="3">
        <v>118.4</v>
      </c>
      <c r="L79" s="3">
        <v>28.387321113483043</v>
      </c>
      <c r="M79" s="3">
        <v>30</v>
      </c>
      <c r="N79" s="3">
        <v>0.69469354881693612</v>
      </c>
      <c r="O79" s="3">
        <v>3.3603589999999999</v>
      </c>
      <c r="P79" s="3">
        <v>6.8522607044344203E-3</v>
      </c>
      <c r="Q79" s="3">
        <f t="shared" si="2"/>
        <v>397866.50559999997</v>
      </c>
      <c r="R79" s="3">
        <f t="shared" si="3"/>
        <v>95391.589989582761</v>
      </c>
      <c r="S79" s="2" t="s">
        <v>49</v>
      </c>
      <c r="T79" s="2" t="s">
        <v>46</v>
      </c>
    </row>
    <row r="80" spans="1:20" x14ac:dyDescent="0.2">
      <c r="A80" s="2" t="s">
        <v>15</v>
      </c>
      <c r="B80" s="2" t="s">
        <v>51</v>
      </c>
      <c r="C80" s="2" t="s">
        <v>53</v>
      </c>
      <c r="D80" s="3">
        <v>432</v>
      </c>
      <c r="E80" s="3">
        <v>26</v>
      </c>
      <c r="F80" s="2" t="s">
        <v>27</v>
      </c>
      <c r="G80" s="3">
        <v>0.13559666666666667</v>
      </c>
      <c r="H80" s="3">
        <v>6.0114876047632521E-2</v>
      </c>
      <c r="I80" s="3">
        <v>30</v>
      </c>
      <c r="J80" s="3">
        <v>5.185501307575923E-9</v>
      </c>
      <c r="K80" s="3">
        <v>127.43333333333334</v>
      </c>
      <c r="L80" s="3">
        <v>10.94130806723868</v>
      </c>
      <c r="M80" s="3">
        <v>30</v>
      </c>
      <c r="N80" s="3">
        <v>0.69469354881693612</v>
      </c>
      <c r="O80" s="3">
        <v>3.3215159999999999</v>
      </c>
      <c r="P80" s="3">
        <v>6.68929074959274E-3</v>
      </c>
      <c r="Q80" s="3">
        <f t="shared" si="2"/>
        <v>423271.85560000001</v>
      </c>
      <c r="R80" s="3">
        <f t="shared" si="3"/>
        <v>36341.729806262352</v>
      </c>
      <c r="S80" s="2" t="s">
        <v>49</v>
      </c>
      <c r="T80" s="2" t="s">
        <v>45</v>
      </c>
    </row>
    <row r="81" spans="1:20" x14ac:dyDescent="0.2">
      <c r="A81" s="2" t="s">
        <v>16</v>
      </c>
      <c r="B81" s="2" t="s">
        <v>45</v>
      </c>
      <c r="C81" s="2" t="s">
        <v>53</v>
      </c>
      <c r="D81" s="3">
        <v>432</v>
      </c>
      <c r="E81" s="3">
        <v>26</v>
      </c>
      <c r="F81" s="2" t="s">
        <v>27</v>
      </c>
      <c r="G81" s="3">
        <v>0.12126333333333332</v>
      </c>
      <c r="H81" s="3">
        <v>2.9848254927587012E-2</v>
      </c>
      <c r="I81" s="3">
        <v>30</v>
      </c>
      <c r="J81" s="3">
        <v>5.185501307575923E-9</v>
      </c>
      <c r="K81" s="3">
        <v>140.69999999999999</v>
      </c>
      <c r="L81" s="3">
        <v>11.009541316512692</v>
      </c>
      <c r="M81" s="3">
        <v>30</v>
      </c>
      <c r="N81" s="3">
        <v>0.69469354881693612</v>
      </c>
      <c r="O81" s="3">
        <v>2.9370940000000001</v>
      </c>
      <c r="P81" s="3">
        <v>6.2535648265374102E-3</v>
      </c>
      <c r="Q81" s="3">
        <f t="shared" si="2"/>
        <v>413249.12580000004</v>
      </c>
      <c r="R81" s="3">
        <f t="shared" si="3"/>
        <v>32336.057743481531</v>
      </c>
      <c r="S81" s="2" t="s">
        <v>49</v>
      </c>
      <c r="T81" s="2" t="s">
        <v>45</v>
      </c>
    </row>
    <row r="82" spans="1:20" x14ac:dyDescent="0.2">
      <c r="A82" s="2" t="s">
        <v>1</v>
      </c>
      <c r="B82" s="2" t="s">
        <v>51</v>
      </c>
      <c r="C82" s="2" t="s">
        <v>53</v>
      </c>
      <c r="D82" s="3">
        <v>443</v>
      </c>
      <c r="E82" s="3">
        <v>28</v>
      </c>
      <c r="F82" s="2" t="s">
        <v>22</v>
      </c>
      <c r="G82" s="3">
        <v>7.6443333333333335E-2</v>
      </c>
      <c r="H82" s="3">
        <v>4.322573834598497E-2</v>
      </c>
      <c r="I82" s="3">
        <v>30</v>
      </c>
      <c r="J82" s="3">
        <v>9.5431087086379207E-5</v>
      </c>
      <c r="K82" s="3">
        <v>52.966666666666669</v>
      </c>
      <c r="L82" s="3">
        <v>20.817433933017671</v>
      </c>
      <c r="M82" s="3">
        <v>30</v>
      </c>
      <c r="N82" s="3">
        <v>0.54024560113845688</v>
      </c>
      <c r="O82" s="3">
        <v>3.1797659999999999</v>
      </c>
      <c r="P82" s="3">
        <v>6.5479186160911302E-3</v>
      </c>
      <c r="Q82" s="3">
        <f t="shared" si="2"/>
        <v>168421.60580000002</v>
      </c>
      <c r="R82" s="3">
        <f t="shared" si="3"/>
        <v>66194.568627455868</v>
      </c>
      <c r="S82" s="2" t="s">
        <v>49</v>
      </c>
      <c r="T82" s="2" t="s">
        <v>45</v>
      </c>
    </row>
    <row r="83" spans="1:20" x14ac:dyDescent="0.2">
      <c r="A83" s="2" t="s">
        <v>2</v>
      </c>
      <c r="B83" s="2" t="s">
        <v>51</v>
      </c>
      <c r="C83" s="2" t="s">
        <v>54</v>
      </c>
      <c r="D83" s="3">
        <v>459</v>
      </c>
      <c r="E83" s="3">
        <v>28</v>
      </c>
      <c r="F83" s="2" t="s">
        <v>22</v>
      </c>
      <c r="G83" s="3">
        <v>6.0370000000000014E-2</v>
      </c>
      <c r="H83" s="3">
        <v>3.1580333014921379E-2</v>
      </c>
      <c r="I83" s="3">
        <v>30</v>
      </c>
      <c r="J83" s="3">
        <v>9.5431087086379207E-5</v>
      </c>
      <c r="K83" s="3">
        <v>101.2</v>
      </c>
      <c r="L83" s="3">
        <v>37.393760620367317</v>
      </c>
      <c r="M83" s="3">
        <v>30</v>
      </c>
      <c r="N83" s="3">
        <v>0.54024560113845688</v>
      </c>
      <c r="O83" s="3">
        <v>2.9979840000000002</v>
      </c>
      <c r="P83" s="3">
        <v>6.3158927709822104E-3</v>
      </c>
      <c r="Q83" s="3">
        <f t="shared" si="2"/>
        <v>303395.98080000002</v>
      </c>
      <c r="R83" s="3">
        <f t="shared" si="3"/>
        <v>112105.8960396913</v>
      </c>
      <c r="S83" s="2" t="s">
        <v>49</v>
      </c>
      <c r="T83" s="2" t="s">
        <v>45</v>
      </c>
    </row>
    <row r="84" spans="1:20" x14ac:dyDescent="0.2">
      <c r="A84" s="2" t="s">
        <v>3</v>
      </c>
      <c r="B84" s="2" t="s">
        <v>45</v>
      </c>
      <c r="C84" s="2" t="s">
        <v>54</v>
      </c>
      <c r="D84" s="3">
        <v>440</v>
      </c>
      <c r="E84" s="3">
        <v>28</v>
      </c>
      <c r="F84" s="2" t="s">
        <v>22</v>
      </c>
      <c r="G84" s="3">
        <v>3.8448275862068962E-2</v>
      </c>
      <c r="H84" s="3">
        <v>3.0943782403596711E-2</v>
      </c>
      <c r="I84" s="3">
        <v>30</v>
      </c>
      <c r="J84" s="3">
        <v>9.5431087086379207E-5</v>
      </c>
      <c r="K84" s="3">
        <v>77.466666666666669</v>
      </c>
      <c r="L84" s="3">
        <v>26.567816788153461</v>
      </c>
      <c r="M84" s="3">
        <v>30</v>
      </c>
      <c r="N84" s="3">
        <v>0.54024560113845688</v>
      </c>
      <c r="O84" s="3">
        <v>2.9697499999999999</v>
      </c>
      <c r="P84" s="3">
        <v>6.1617031243836598E-3</v>
      </c>
      <c r="Q84" s="3">
        <f t="shared" si="2"/>
        <v>230056.63333333333</v>
      </c>
      <c r="R84" s="3">
        <f t="shared" si="3"/>
        <v>78899.773906618735</v>
      </c>
      <c r="S84" s="2" t="s">
        <v>49</v>
      </c>
      <c r="T84" s="2" t="s">
        <v>45</v>
      </c>
    </row>
    <row r="85" spans="1:20" x14ac:dyDescent="0.2">
      <c r="A85" s="2" t="s">
        <v>4</v>
      </c>
      <c r="B85" s="2" t="s">
        <v>45</v>
      </c>
      <c r="C85" s="2" t="s">
        <v>53</v>
      </c>
      <c r="D85" s="3">
        <v>440</v>
      </c>
      <c r="E85" s="3">
        <v>28</v>
      </c>
      <c r="F85" s="2" t="s">
        <v>22</v>
      </c>
      <c r="G85" s="3">
        <v>0.11463333333333334</v>
      </c>
      <c r="H85" s="3">
        <v>4.6253845485777961E-2</v>
      </c>
      <c r="I85" s="3">
        <v>30</v>
      </c>
      <c r="J85" s="3">
        <v>9.5431087086379207E-5</v>
      </c>
      <c r="K85" s="3">
        <v>78.033333333333331</v>
      </c>
      <c r="L85" s="3">
        <v>22.328581584049523</v>
      </c>
      <c r="M85" s="3">
        <v>30</v>
      </c>
      <c r="N85" s="3">
        <v>0.54024560113845688</v>
      </c>
      <c r="O85" s="3">
        <v>3.0938279999999998</v>
      </c>
      <c r="P85" s="3">
        <v>6.5414346338249704E-3</v>
      </c>
      <c r="Q85" s="3">
        <f t="shared" si="2"/>
        <v>241421.71159999998</v>
      </c>
      <c r="R85" s="3">
        <f t="shared" si="3"/>
        <v>69080.790905016765</v>
      </c>
      <c r="S85" s="2" t="s">
        <v>49</v>
      </c>
      <c r="T85" s="2" t="s">
        <v>45</v>
      </c>
    </row>
    <row r="86" spans="1:20" x14ac:dyDescent="0.2">
      <c r="A86" s="2" t="s">
        <v>5</v>
      </c>
      <c r="B86" s="2" t="s">
        <v>51</v>
      </c>
      <c r="C86" s="2" t="s">
        <v>53</v>
      </c>
      <c r="D86" s="3">
        <v>459</v>
      </c>
      <c r="E86" s="3">
        <v>28</v>
      </c>
      <c r="F86" s="2" t="s">
        <v>22</v>
      </c>
      <c r="G86" s="3">
        <v>5.897666666666667E-2</v>
      </c>
      <c r="H86" s="3">
        <v>3.1129393219628005E-2</v>
      </c>
      <c r="I86" s="3">
        <v>30</v>
      </c>
      <c r="J86" s="3">
        <v>9.5431087086379207E-5</v>
      </c>
      <c r="K86" s="3">
        <v>48.633333333333333</v>
      </c>
      <c r="L86" s="3">
        <v>28.452865506931907</v>
      </c>
      <c r="M86" s="3">
        <v>30</v>
      </c>
      <c r="N86" s="3">
        <v>0.54024560113845688</v>
      </c>
      <c r="O86" s="3">
        <v>3.2773910000000002</v>
      </c>
      <c r="P86" s="3">
        <v>6.7907231225311504E-3</v>
      </c>
      <c r="Q86" s="3">
        <f t="shared" si="2"/>
        <v>159390.44896666668</v>
      </c>
      <c r="R86" s="3">
        <f t="shared" si="3"/>
        <v>93251.16533662907</v>
      </c>
      <c r="S86" s="2" t="s">
        <v>49</v>
      </c>
      <c r="T86" s="2" t="s">
        <v>45</v>
      </c>
    </row>
    <row r="87" spans="1:20" x14ac:dyDescent="0.2">
      <c r="A87" s="2" t="s">
        <v>6</v>
      </c>
      <c r="B87" s="2" t="s">
        <v>45</v>
      </c>
      <c r="C87" s="2" t="s">
        <v>54</v>
      </c>
      <c r="D87" s="3">
        <v>446</v>
      </c>
      <c r="E87" s="3">
        <v>28</v>
      </c>
      <c r="F87" s="2" t="s">
        <v>22</v>
      </c>
      <c r="G87" s="3">
        <v>2.3167857142857136E-2</v>
      </c>
      <c r="H87" s="3">
        <v>2.6531531827665905E-2</v>
      </c>
      <c r="I87" s="3">
        <v>30</v>
      </c>
      <c r="J87" s="3">
        <v>9.5431087086379207E-5</v>
      </c>
      <c r="K87" s="3">
        <v>81.433333333333337</v>
      </c>
      <c r="L87" s="3">
        <v>31.722424595579419</v>
      </c>
      <c r="M87" s="3">
        <v>30</v>
      </c>
      <c r="N87" s="3">
        <v>0.54024560113845688</v>
      </c>
      <c r="O87" s="3">
        <v>2.9900159999999998</v>
      </c>
      <c r="P87" s="3">
        <v>6.2594743775136802E-3</v>
      </c>
      <c r="Q87" s="3">
        <f t="shared" si="2"/>
        <v>243486.96960000001</v>
      </c>
      <c r="R87" s="3">
        <f t="shared" si="3"/>
        <v>94850.557099575977</v>
      </c>
      <c r="S87" s="2" t="s">
        <v>49</v>
      </c>
      <c r="T87" s="2" t="s">
        <v>45</v>
      </c>
    </row>
    <row r="88" spans="1:20" x14ac:dyDescent="0.2">
      <c r="A88" s="2" t="s">
        <v>7</v>
      </c>
      <c r="B88" s="2" t="s">
        <v>51</v>
      </c>
      <c r="C88" s="2" t="s">
        <v>53</v>
      </c>
      <c r="D88" s="3">
        <v>416</v>
      </c>
      <c r="E88" s="3">
        <v>28</v>
      </c>
      <c r="F88" s="2" t="s">
        <v>22</v>
      </c>
      <c r="G88" s="3">
        <v>0.11462</v>
      </c>
      <c r="H88" s="3">
        <v>5.8731890258473154E-2</v>
      </c>
      <c r="I88" s="3">
        <v>30</v>
      </c>
      <c r="J88" s="3">
        <v>9.5431087086379207E-5</v>
      </c>
      <c r="K88" s="3">
        <v>90.933333333333337</v>
      </c>
      <c r="L88" s="3">
        <v>30.985946635352111</v>
      </c>
      <c r="M88" s="3">
        <v>30</v>
      </c>
      <c r="N88" s="3">
        <v>0.54024560113845688</v>
      </c>
      <c r="O88" s="3">
        <v>3.2571720000000002</v>
      </c>
      <c r="P88" s="3">
        <v>6.6152391403547896E-3</v>
      </c>
      <c r="Q88" s="3">
        <f t="shared" si="2"/>
        <v>296185.50720000005</v>
      </c>
      <c r="R88" s="3">
        <f t="shared" si="3"/>
        <v>100926.55777416311</v>
      </c>
      <c r="S88" s="2" t="s">
        <v>49</v>
      </c>
      <c r="T88" s="2" t="s">
        <v>46</v>
      </c>
    </row>
    <row r="89" spans="1:20" x14ac:dyDescent="0.2">
      <c r="A89" s="2" t="s">
        <v>8</v>
      </c>
      <c r="B89" s="2" t="s">
        <v>45</v>
      </c>
      <c r="C89" s="2" t="s">
        <v>54</v>
      </c>
      <c r="D89" s="3">
        <v>494</v>
      </c>
      <c r="E89" s="3">
        <v>28</v>
      </c>
      <c r="F89" s="2" t="s">
        <v>22</v>
      </c>
      <c r="G89" s="3">
        <v>2.1048275862068967E-2</v>
      </c>
      <c r="H89" s="3">
        <v>1.9565233428106954E-2</v>
      </c>
      <c r="I89" s="3">
        <v>30</v>
      </c>
      <c r="J89" s="3">
        <v>9.5431087086379207E-5</v>
      </c>
      <c r="K89" s="3">
        <v>77.933333333333337</v>
      </c>
      <c r="L89" s="3">
        <v>25.203086230768559</v>
      </c>
      <c r="M89" s="3">
        <v>30</v>
      </c>
      <c r="N89" s="3">
        <v>0.54024560113845688</v>
      </c>
      <c r="O89" s="3">
        <v>3.0339529999999999</v>
      </c>
      <c r="P89" s="3">
        <v>6.2839430757977198E-3</v>
      </c>
      <c r="Q89" s="3">
        <f t="shared" si="2"/>
        <v>236446.07046666669</v>
      </c>
      <c r="R89" s="3">
        <f t="shared" si="3"/>
        <v>76464.979079098965</v>
      </c>
      <c r="S89" s="2" t="s">
        <v>49</v>
      </c>
      <c r="T89" s="2" t="s">
        <v>45</v>
      </c>
    </row>
    <row r="90" spans="1:20" x14ac:dyDescent="0.2">
      <c r="A90" s="2" t="s">
        <v>9</v>
      </c>
      <c r="B90" s="2" t="s">
        <v>51</v>
      </c>
      <c r="C90" s="2" t="s">
        <v>53</v>
      </c>
      <c r="D90" s="3">
        <v>480</v>
      </c>
      <c r="E90" s="3">
        <v>28</v>
      </c>
      <c r="F90" s="2" t="s">
        <v>22</v>
      </c>
      <c r="G90" s="3">
        <v>9.5713333333333317E-2</v>
      </c>
      <c r="H90" s="3">
        <v>4.936177153312965E-2</v>
      </c>
      <c r="I90" s="3">
        <v>30</v>
      </c>
      <c r="J90" s="3">
        <v>9.5431087086379207E-5</v>
      </c>
      <c r="K90" s="3">
        <v>74.400000000000006</v>
      </c>
      <c r="L90" s="3">
        <v>24.909971229743856</v>
      </c>
      <c r="M90" s="3">
        <v>30</v>
      </c>
      <c r="N90" s="3">
        <v>0.54024560113845688</v>
      </c>
      <c r="O90" s="3">
        <v>3.1874850000000001</v>
      </c>
      <c r="P90" s="3">
        <v>6.7049464530791799E-3</v>
      </c>
      <c r="Q90" s="3">
        <f t="shared" si="2"/>
        <v>237148.88400000002</v>
      </c>
      <c r="R90" s="3">
        <f t="shared" si="3"/>
        <v>79400.159645240099</v>
      </c>
      <c r="S90" s="2" t="s">
        <v>49</v>
      </c>
      <c r="T90" s="2" t="s">
        <v>45</v>
      </c>
    </row>
    <row r="91" spans="1:20" x14ac:dyDescent="0.2">
      <c r="A91" s="2" t="s">
        <v>10</v>
      </c>
      <c r="B91" s="2" t="s">
        <v>45</v>
      </c>
      <c r="C91" s="2" t="s">
        <v>54</v>
      </c>
      <c r="D91" s="3">
        <v>480</v>
      </c>
      <c r="E91" s="3">
        <v>28</v>
      </c>
      <c r="F91" s="2" t="s">
        <v>22</v>
      </c>
      <c r="G91" s="3">
        <v>2.608333333333333E-2</v>
      </c>
      <c r="H91" s="3">
        <v>1.9487895103257189E-2</v>
      </c>
      <c r="I91" s="3">
        <v>30</v>
      </c>
      <c r="J91" s="3">
        <v>9.5431087086379207E-5</v>
      </c>
      <c r="K91" s="3">
        <v>99.433333333333337</v>
      </c>
      <c r="L91" s="3">
        <v>27.614830958904836</v>
      </c>
      <c r="M91" s="3">
        <v>30</v>
      </c>
      <c r="N91" s="3">
        <v>0.54024560113845688</v>
      </c>
      <c r="O91" s="3">
        <v>2.8960629999999998</v>
      </c>
      <c r="P91" s="3">
        <v>6.2786710678268999E-3</v>
      </c>
      <c r="Q91" s="3">
        <f t="shared" si="2"/>
        <v>287965.19763333333</v>
      </c>
      <c r="R91" s="3">
        <f t="shared" si="3"/>
        <v>79974.29019133882</v>
      </c>
      <c r="S91" s="2" t="s">
        <v>49</v>
      </c>
      <c r="T91" s="2" t="s">
        <v>45</v>
      </c>
    </row>
    <row r="92" spans="1:20" x14ac:dyDescent="0.2">
      <c r="A92" s="2" t="s">
        <v>11</v>
      </c>
      <c r="B92" s="2" t="s">
        <v>45</v>
      </c>
      <c r="C92" s="2" t="s">
        <v>53</v>
      </c>
      <c r="D92" s="3">
        <v>480</v>
      </c>
      <c r="E92" s="3">
        <v>28</v>
      </c>
      <c r="F92" s="2" t="s">
        <v>22</v>
      </c>
      <c r="G92" s="3">
        <v>0.10521666666666664</v>
      </c>
      <c r="H92" s="3">
        <v>4.5602661350213118E-2</v>
      </c>
      <c r="I92" s="3">
        <v>30</v>
      </c>
      <c r="J92" s="3">
        <v>9.5431087086379207E-5</v>
      </c>
      <c r="K92" s="3">
        <v>92.066666666666663</v>
      </c>
      <c r="L92" s="3">
        <v>23.552683263035849</v>
      </c>
      <c r="M92" s="3">
        <v>30</v>
      </c>
      <c r="N92" s="3">
        <v>0.54024560113845688</v>
      </c>
      <c r="O92" s="3">
        <v>3.109235</v>
      </c>
      <c r="P92" s="3">
        <v>6.7171739328962298E-3</v>
      </c>
      <c r="Q92" s="3">
        <f t="shared" si="2"/>
        <v>286256.90233333327</v>
      </c>
      <c r="R92" s="3">
        <f t="shared" si="3"/>
        <v>73230.827145345262</v>
      </c>
      <c r="S92" s="2" t="s">
        <v>49</v>
      </c>
      <c r="T92" s="2" t="s">
        <v>45</v>
      </c>
    </row>
    <row r="93" spans="1:20" x14ac:dyDescent="0.2">
      <c r="A93" s="2" t="s">
        <v>12</v>
      </c>
      <c r="B93" s="2" t="s">
        <v>51</v>
      </c>
      <c r="C93" s="2" t="s">
        <v>54</v>
      </c>
      <c r="D93" s="3">
        <v>416</v>
      </c>
      <c r="E93" s="3">
        <v>28</v>
      </c>
      <c r="F93" s="2" t="s">
        <v>22</v>
      </c>
      <c r="G93" s="3">
        <v>4.4776666666666666E-2</v>
      </c>
      <c r="H93" s="3">
        <v>2.6279481011279925E-2</v>
      </c>
      <c r="I93" s="3">
        <v>30</v>
      </c>
      <c r="J93" s="3">
        <v>9.5431087086379207E-5</v>
      </c>
      <c r="K93" s="3">
        <v>78.7</v>
      </c>
      <c r="L93" s="3">
        <v>24.481489606094915</v>
      </c>
      <c r="M93" s="3">
        <v>30</v>
      </c>
      <c r="N93" s="3">
        <v>0.54024560113845688</v>
      </c>
      <c r="O93" s="3">
        <v>3.2587030000000001</v>
      </c>
      <c r="P93" s="3">
        <v>6.4613274914063004E-3</v>
      </c>
      <c r="Q93" s="3">
        <f t="shared" si="2"/>
        <v>256459.92610000001</v>
      </c>
      <c r="R93" s="3">
        <f t="shared" si="3"/>
        <v>79777.903623850318</v>
      </c>
      <c r="S93" s="2" t="s">
        <v>49</v>
      </c>
      <c r="T93" s="2" t="s">
        <v>46</v>
      </c>
    </row>
    <row r="94" spans="1:20" x14ac:dyDescent="0.2">
      <c r="A94" s="2" t="s">
        <v>13</v>
      </c>
      <c r="B94" s="2" t="s">
        <v>45</v>
      </c>
      <c r="C94" s="2" t="s">
        <v>54</v>
      </c>
      <c r="D94" s="3">
        <v>416</v>
      </c>
      <c r="E94" s="3">
        <v>28</v>
      </c>
      <c r="F94" s="2" t="s">
        <v>22</v>
      </c>
      <c r="G94" s="3">
        <v>4.0333333333333332E-2</v>
      </c>
      <c r="H94" s="3">
        <v>2.06529147794903E-2</v>
      </c>
      <c r="I94" s="3">
        <v>30</v>
      </c>
      <c r="J94" s="3">
        <v>9.5431087086379207E-5</v>
      </c>
      <c r="K94" s="3">
        <v>81.766666666666666</v>
      </c>
      <c r="L94" s="3">
        <v>31.86396432056473</v>
      </c>
      <c r="M94" s="3">
        <v>30</v>
      </c>
      <c r="N94" s="3">
        <v>0.54024560113845688</v>
      </c>
      <c r="O94" s="3">
        <v>3.267188</v>
      </c>
      <c r="P94" s="3">
        <v>6.4245668149606697E-3</v>
      </c>
      <c r="Q94" s="3">
        <f t="shared" si="2"/>
        <v>267147.07213333336</v>
      </c>
      <c r="R94" s="3">
        <f t="shared" si="3"/>
        <v>104105.56186057723</v>
      </c>
      <c r="S94" s="2" t="s">
        <v>49</v>
      </c>
      <c r="T94" s="2" t="s">
        <v>46</v>
      </c>
    </row>
    <row r="95" spans="1:20" x14ac:dyDescent="0.2">
      <c r="A95" s="2" t="s">
        <v>14</v>
      </c>
      <c r="B95" s="2" t="s">
        <v>45</v>
      </c>
      <c r="C95" s="2" t="s">
        <v>53</v>
      </c>
      <c r="D95" s="3">
        <v>416</v>
      </c>
      <c r="E95" s="3">
        <v>28</v>
      </c>
      <c r="F95" s="2" t="s">
        <v>22</v>
      </c>
      <c r="G95" s="3">
        <v>0.11105</v>
      </c>
      <c r="H95" s="3">
        <v>6.3156349641188089E-2</v>
      </c>
      <c r="I95" s="3">
        <v>30</v>
      </c>
      <c r="J95" s="3">
        <v>9.5431087086379207E-5</v>
      </c>
      <c r="K95" s="3">
        <v>100.6</v>
      </c>
      <c r="L95" s="3">
        <v>21.549323268570021</v>
      </c>
      <c r="M95" s="3">
        <v>30</v>
      </c>
      <c r="N95" s="3">
        <v>0.54024560113845688</v>
      </c>
      <c r="O95" s="3">
        <v>3.3315320000000002</v>
      </c>
      <c r="P95" s="3">
        <v>6.7934782590686896E-3</v>
      </c>
      <c r="Q95" s="3">
        <f t="shared" si="2"/>
        <v>335152.11920000002</v>
      </c>
      <c r="R95" s="3">
        <f t="shared" si="3"/>
        <v>71792.260047585616</v>
      </c>
      <c r="S95" s="2" t="s">
        <v>49</v>
      </c>
      <c r="T95" s="2" t="s">
        <v>46</v>
      </c>
    </row>
    <row r="96" spans="1:20" x14ac:dyDescent="0.2">
      <c r="A96" s="2" t="s">
        <v>15</v>
      </c>
      <c r="B96" s="2" t="s">
        <v>51</v>
      </c>
      <c r="C96" s="2" t="s">
        <v>53</v>
      </c>
      <c r="D96" s="3">
        <v>432</v>
      </c>
      <c r="E96" s="3">
        <v>28</v>
      </c>
      <c r="F96" s="2" t="s">
        <v>22</v>
      </c>
      <c r="G96" s="3">
        <v>0.12222</v>
      </c>
      <c r="H96" s="3">
        <v>5.816537572588467E-2</v>
      </c>
      <c r="I96" s="3">
        <v>30</v>
      </c>
      <c r="J96" s="3">
        <v>9.5431087086379207E-5</v>
      </c>
      <c r="K96" s="3">
        <v>89.266666666666666</v>
      </c>
      <c r="L96" s="3">
        <v>23.566831682590589</v>
      </c>
      <c r="M96" s="3">
        <v>30</v>
      </c>
      <c r="N96" s="3">
        <v>0.54024560113845688</v>
      </c>
      <c r="O96" s="3">
        <v>3.5190939999999999</v>
      </c>
      <c r="P96" s="3">
        <v>7.0871984181763098E-3</v>
      </c>
      <c r="Q96" s="3">
        <f t="shared" si="2"/>
        <v>314137.79106666666</v>
      </c>
      <c r="R96" s="3">
        <f t="shared" si="3"/>
        <v>82933.895973214443</v>
      </c>
      <c r="S96" s="2" t="s">
        <v>49</v>
      </c>
      <c r="T96" s="2" t="s">
        <v>45</v>
      </c>
    </row>
    <row r="97" spans="1:20" x14ac:dyDescent="0.2">
      <c r="A97" s="2" t="s">
        <v>16</v>
      </c>
      <c r="B97" s="2" t="s">
        <v>45</v>
      </c>
      <c r="C97" s="2" t="s">
        <v>53</v>
      </c>
      <c r="D97" s="3">
        <v>432</v>
      </c>
      <c r="E97" s="3">
        <v>28</v>
      </c>
      <c r="F97" s="2" t="s">
        <v>22</v>
      </c>
      <c r="G97" s="3">
        <v>0.10476000000000001</v>
      </c>
      <c r="H97" s="3">
        <v>6.8309348310949855E-2</v>
      </c>
      <c r="I97" s="3">
        <v>30</v>
      </c>
      <c r="J97" s="3">
        <v>9.5431087086379207E-5</v>
      </c>
      <c r="K97" s="3">
        <v>97.13333333333334</v>
      </c>
      <c r="L97" s="3">
        <v>37.180401049776513</v>
      </c>
      <c r="M97" s="3">
        <v>30</v>
      </c>
      <c r="N97" s="3">
        <v>0.54024560113845688</v>
      </c>
      <c r="O97" s="3">
        <v>3.1987809999999999</v>
      </c>
      <c r="P97" s="3">
        <v>6.8107402587033799E-3</v>
      </c>
      <c r="Q97" s="3">
        <f t="shared" si="2"/>
        <v>310708.26113333338</v>
      </c>
      <c r="R97" s="3">
        <f t="shared" si="3"/>
        <v>118931.96045040515</v>
      </c>
      <c r="S97" s="2" t="s">
        <v>49</v>
      </c>
      <c r="T97" s="2" t="s">
        <v>45</v>
      </c>
    </row>
    <row r="98" spans="1:20" x14ac:dyDescent="0.2">
      <c r="A98" s="2" t="s">
        <v>1</v>
      </c>
      <c r="B98" s="2" t="s">
        <v>51</v>
      </c>
      <c r="C98" s="2" t="s">
        <v>53</v>
      </c>
      <c r="D98" s="3">
        <v>443</v>
      </c>
      <c r="E98" s="3">
        <v>31</v>
      </c>
      <c r="F98" s="2" t="s">
        <v>40</v>
      </c>
      <c r="G98" s="3">
        <v>5.8543333333333329E-2</v>
      </c>
      <c r="H98" s="3">
        <v>4.0186827720314303E-2</v>
      </c>
      <c r="I98" s="3">
        <v>30</v>
      </c>
      <c r="J98" s="3">
        <v>4.9599178542877008E-3</v>
      </c>
      <c r="K98" s="3">
        <v>28.266666666666666</v>
      </c>
      <c r="L98" s="3">
        <v>18.391906432510531</v>
      </c>
      <c r="M98" s="3">
        <v>30</v>
      </c>
      <c r="N98" s="3">
        <v>0.25675545470821293</v>
      </c>
      <c r="O98" s="3">
        <v>6.0382189999999998</v>
      </c>
      <c r="P98" s="3">
        <v>1.24341749041078E-2</v>
      </c>
      <c r="Q98" s="3">
        <f t="shared" si="2"/>
        <v>170680.32373333332</v>
      </c>
      <c r="R98" s="3">
        <f t="shared" si="3"/>
        <v>111054.35886700731</v>
      </c>
      <c r="S98" s="2" t="s">
        <v>49</v>
      </c>
      <c r="T98" s="2" t="s">
        <v>45</v>
      </c>
    </row>
    <row r="99" spans="1:20" x14ac:dyDescent="0.2">
      <c r="A99" s="2" t="s">
        <v>2</v>
      </c>
      <c r="B99" s="2" t="s">
        <v>51</v>
      </c>
      <c r="C99" s="2" t="s">
        <v>54</v>
      </c>
      <c r="D99" s="3">
        <v>459</v>
      </c>
      <c r="E99" s="3">
        <v>31</v>
      </c>
      <c r="F99" s="2" t="s">
        <v>40</v>
      </c>
      <c r="G99" s="3">
        <v>3.5346666666666665E-2</v>
      </c>
      <c r="H99" s="3">
        <v>2.7908884288380686E-2</v>
      </c>
      <c r="I99" s="3">
        <v>30</v>
      </c>
      <c r="J99" s="3">
        <v>4.9599178542877008E-3</v>
      </c>
      <c r="K99" s="3">
        <v>86.466666666666669</v>
      </c>
      <c r="L99" s="3">
        <v>40.143686372274722</v>
      </c>
      <c r="M99" s="3">
        <v>30</v>
      </c>
      <c r="N99" s="3">
        <v>0.25675545470821293</v>
      </c>
      <c r="O99" s="3">
        <v>5.3459839999999996</v>
      </c>
      <c r="P99" s="3">
        <v>1.1262455603294299E-2</v>
      </c>
      <c r="Q99" s="3">
        <f t="shared" si="2"/>
        <v>462249.41653333331</v>
      </c>
      <c r="R99" s="3">
        <f t="shared" si="3"/>
        <v>214607.50504719871</v>
      </c>
      <c r="S99" s="2" t="s">
        <v>49</v>
      </c>
      <c r="T99" s="2" t="s">
        <v>45</v>
      </c>
    </row>
    <row r="100" spans="1:20" x14ac:dyDescent="0.2">
      <c r="A100" s="2" t="s">
        <v>3</v>
      </c>
      <c r="B100" s="2" t="s">
        <v>45</v>
      </c>
      <c r="C100" s="2" t="s">
        <v>54</v>
      </c>
      <c r="D100" s="3">
        <v>440</v>
      </c>
      <c r="E100" s="3">
        <v>31</v>
      </c>
      <c r="F100" s="2" t="s">
        <v>40</v>
      </c>
      <c r="G100" s="3">
        <v>4.0573333333333329E-2</v>
      </c>
      <c r="H100" s="3">
        <v>2.6537431844262719E-2</v>
      </c>
      <c r="I100" s="3">
        <v>30</v>
      </c>
      <c r="J100" s="3">
        <v>4.9599178542877008E-3</v>
      </c>
      <c r="K100" s="3">
        <v>64.833333333333329</v>
      </c>
      <c r="L100" s="3">
        <v>34.317229232882745</v>
      </c>
      <c r="M100" s="3">
        <v>30</v>
      </c>
      <c r="N100" s="3">
        <v>0.25675545470821293</v>
      </c>
      <c r="O100" s="3">
        <v>5.6588750000000001</v>
      </c>
      <c r="P100" s="3">
        <v>1.1741159278726E-2</v>
      </c>
      <c r="Q100" s="3">
        <f t="shared" si="2"/>
        <v>366883.72916666663</v>
      </c>
      <c r="R100" s="3">
        <f t="shared" si="3"/>
        <v>194196.91057522935</v>
      </c>
      <c r="S100" s="2" t="s">
        <v>49</v>
      </c>
      <c r="T100" s="2" t="s">
        <v>45</v>
      </c>
    </row>
    <row r="101" spans="1:20" x14ac:dyDescent="0.2">
      <c r="A101" s="2" t="s">
        <v>4</v>
      </c>
      <c r="B101" s="2" t="s">
        <v>45</v>
      </c>
      <c r="C101" s="2" t="s">
        <v>53</v>
      </c>
      <c r="D101" s="3">
        <v>440</v>
      </c>
      <c r="E101" s="3">
        <v>31</v>
      </c>
      <c r="F101" s="2" t="s">
        <v>40</v>
      </c>
      <c r="G101" s="3">
        <v>5.2093333333333332E-2</v>
      </c>
      <c r="H101" s="3">
        <v>3.553351407083491E-2</v>
      </c>
      <c r="I101" s="3">
        <v>30</v>
      </c>
      <c r="J101" s="3">
        <v>4.9599178542877008E-3</v>
      </c>
      <c r="K101" s="3">
        <v>69</v>
      </c>
      <c r="L101" s="3">
        <v>33.425539138010421</v>
      </c>
      <c r="M101" s="3">
        <v>30</v>
      </c>
      <c r="N101" s="3">
        <v>0.25675545470821293</v>
      </c>
      <c r="O101" s="3">
        <v>5.8940000000000001</v>
      </c>
      <c r="P101" s="3">
        <v>1.24619777608078E-2</v>
      </c>
      <c r="Q101" s="3">
        <f t="shared" si="2"/>
        <v>406686</v>
      </c>
      <c r="R101" s="3">
        <f t="shared" si="3"/>
        <v>197010.12767943341</v>
      </c>
      <c r="S101" s="2" t="s">
        <v>49</v>
      </c>
      <c r="T101" s="2" t="s">
        <v>45</v>
      </c>
    </row>
    <row r="102" spans="1:20" x14ac:dyDescent="0.2">
      <c r="A102" s="2" t="s">
        <v>5</v>
      </c>
      <c r="B102" s="2" t="s">
        <v>51</v>
      </c>
      <c r="C102" s="2" t="s">
        <v>53</v>
      </c>
      <c r="D102" s="3">
        <v>459</v>
      </c>
      <c r="E102" s="3">
        <v>31</v>
      </c>
      <c r="F102" s="2" t="s">
        <v>40</v>
      </c>
      <c r="G102" s="3">
        <v>3.4723333333333335E-2</v>
      </c>
      <c r="H102" s="3">
        <v>3.1966656412928493E-2</v>
      </c>
      <c r="I102" s="3">
        <v>30</v>
      </c>
      <c r="J102" s="3">
        <v>4.9599178542877008E-3</v>
      </c>
      <c r="K102" s="3">
        <v>24.333333333333332</v>
      </c>
      <c r="L102" s="3">
        <v>25.043074003715187</v>
      </c>
      <c r="M102" s="3">
        <v>30</v>
      </c>
      <c r="N102" s="3">
        <v>0.25675545470821293</v>
      </c>
      <c r="O102" s="3">
        <v>5.8997339999999996</v>
      </c>
      <c r="P102" s="3">
        <v>1.22241929908831E-2</v>
      </c>
      <c r="Q102" s="3">
        <f t="shared" si="2"/>
        <v>143560.19399999999</v>
      </c>
      <c r="R102" s="3">
        <f t="shared" si="3"/>
        <v>147747.47516423461</v>
      </c>
      <c r="S102" s="2" t="s">
        <v>49</v>
      </c>
      <c r="T102" s="2" t="s">
        <v>45</v>
      </c>
    </row>
    <row r="103" spans="1:20" x14ac:dyDescent="0.2">
      <c r="A103" s="2" t="s">
        <v>6</v>
      </c>
      <c r="B103" s="2" t="s">
        <v>45</v>
      </c>
      <c r="C103" s="2" t="s">
        <v>54</v>
      </c>
      <c r="D103" s="3">
        <v>446</v>
      </c>
      <c r="E103" s="3">
        <v>31</v>
      </c>
      <c r="F103" s="2" t="s">
        <v>40</v>
      </c>
      <c r="G103" s="3">
        <v>2.8776666666666669E-2</v>
      </c>
      <c r="H103" s="3">
        <v>2.7649432584091527E-2</v>
      </c>
      <c r="I103" s="3">
        <v>30</v>
      </c>
      <c r="J103" s="3">
        <v>4.9599178542877008E-3</v>
      </c>
      <c r="K103" s="3">
        <v>56.633333333333333</v>
      </c>
      <c r="L103" s="3">
        <v>29.115268999081714</v>
      </c>
      <c r="M103" s="3">
        <v>30</v>
      </c>
      <c r="N103" s="3">
        <v>0.25675545470821293</v>
      </c>
      <c r="O103" s="3">
        <v>5.6901099999999998</v>
      </c>
      <c r="P103" s="3">
        <v>1.1912009082972901E-2</v>
      </c>
      <c r="Q103" s="3">
        <f t="shared" si="2"/>
        <v>322249.89633333334</v>
      </c>
      <c r="R103" s="3">
        <f t="shared" si="3"/>
        <v>165669.08328436484</v>
      </c>
      <c r="S103" s="2" t="s">
        <v>49</v>
      </c>
      <c r="T103" s="2" t="s">
        <v>45</v>
      </c>
    </row>
    <row r="104" spans="1:20" x14ac:dyDescent="0.2">
      <c r="A104" s="2" t="s">
        <v>7</v>
      </c>
      <c r="B104" s="2" t="s">
        <v>51</v>
      </c>
      <c r="C104" s="2" t="s">
        <v>53</v>
      </c>
      <c r="D104" s="3">
        <v>416</v>
      </c>
      <c r="E104" s="3">
        <v>31</v>
      </c>
      <c r="F104" s="2" t="s">
        <v>40</v>
      </c>
      <c r="G104" s="3">
        <v>9.1073333333333339E-2</v>
      </c>
      <c r="H104" s="3">
        <v>3.8115455599475066E-2</v>
      </c>
      <c r="I104" s="3">
        <v>30</v>
      </c>
      <c r="J104" s="3">
        <v>4.9599178542877008E-3</v>
      </c>
      <c r="K104" s="3">
        <v>69.766666666666666</v>
      </c>
      <c r="L104" s="3">
        <v>33.000690228471825</v>
      </c>
      <c r="M104" s="3">
        <v>30</v>
      </c>
      <c r="N104" s="3">
        <v>0.25675545470821293</v>
      </c>
      <c r="O104" s="3">
        <v>5.9529690000000004</v>
      </c>
      <c r="P104" s="3">
        <v>1.2090338959722899E-2</v>
      </c>
      <c r="Q104" s="3">
        <f t="shared" si="2"/>
        <v>415318.80390000006</v>
      </c>
      <c r="R104" s="3">
        <f t="shared" si="3"/>
        <v>196452.08590869571</v>
      </c>
      <c r="S104" s="2" t="s">
        <v>49</v>
      </c>
      <c r="T104" s="2" t="s">
        <v>46</v>
      </c>
    </row>
    <row r="105" spans="1:20" x14ac:dyDescent="0.2">
      <c r="A105" s="2" t="s">
        <v>8</v>
      </c>
      <c r="B105" s="2" t="s">
        <v>45</v>
      </c>
      <c r="C105" s="2" t="s">
        <v>54</v>
      </c>
      <c r="D105" s="3">
        <v>494</v>
      </c>
      <c r="E105" s="3">
        <v>31</v>
      </c>
      <c r="F105" s="2" t="s">
        <v>40</v>
      </c>
      <c r="G105" s="3">
        <v>3.6240000000000001E-2</v>
      </c>
      <c r="H105" s="3">
        <v>2.8423647431906649E-2</v>
      </c>
      <c r="I105" s="3">
        <v>30</v>
      </c>
      <c r="J105" s="3">
        <v>4.9599178542877008E-3</v>
      </c>
      <c r="K105" s="3">
        <v>41.7</v>
      </c>
      <c r="L105" s="3">
        <v>27.637112729082251</v>
      </c>
      <c r="M105" s="3">
        <v>30</v>
      </c>
      <c r="N105" s="3">
        <v>0.25675545470821293</v>
      </c>
      <c r="O105" s="3">
        <v>5.7223439999999997</v>
      </c>
      <c r="P105" s="3">
        <v>1.1852155902261E-2</v>
      </c>
      <c r="Q105" s="3">
        <f t="shared" si="2"/>
        <v>238621.74479999999</v>
      </c>
      <c r="R105" s="3">
        <f t="shared" si="3"/>
        <v>158149.06620258745</v>
      </c>
      <c r="S105" s="2" t="s">
        <v>49</v>
      </c>
      <c r="T105" s="2" t="s">
        <v>45</v>
      </c>
    </row>
    <row r="106" spans="1:20" x14ac:dyDescent="0.2">
      <c r="A106" s="2" t="s">
        <v>9</v>
      </c>
      <c r="B106" s="2" t="s">
        <v>51</v>
      </c>
      <c r="C106" s="2" t="s">
        <v>53</v>
      </c>
      <c r="D106" s="3">
        <v>480</v>
      </c>
      <c r="E106" s="3">
        <v>31</v>
      </c>
      <c r="F106" s="2" t="s">
        <v>40</v>
      </c>
      <c r="G106" s="3">
        <v>5.2113333333333331E-2</v>
      </c>
      <c r="H106" s="3">
        <v>3.5772827055679503E-2</v>
      </c>
      <c r="I106" s="3">
        <v>30</v>
      </c>
      <c r="J106" s="3">
        <v>4.9599178542877008E-3</v>
      </c>
      <c r="K106" s="3">
        <v>41.633333333333333</v>
      </c>
      <c r="L106" s="3">
        <v>22.333059699816229</v>
      </c>
      <c r="M106" s="3">
        <v>30</v>
      </c>
      <c r="N106" s="3">
        <v>0.25675545470821293</v>
      </c>
      <c r="O106" s="3">
        <v>5.9774380000000003</v>
      </c>
      <c r="P106" s="3">
        <v>1.2573675395053101E-2</v>
      </c>
      <c r="Q106" s="3">
        <f t="shared" si="2"/>
        <v>248860.66873333335</v>
      </c>
      <c r="R106" s="3">
        <f t="shared" si="3"/>
        <v>133494.47970595013</v>
      </c>
      <c r="S106" s="2" t="s">
        <v>49</v>
      </c>
      <c r="T106" s="2" t="s">
        <v>45</v>
      </c>
    </row>
    <row r="107" spans="1:20" x14ac:dyDescent="0.2">
      <c r="A107" s="2" t="s">
        <v>10</v>
      </c>
      <c r="B107" s="2" t="s">
        <v>45</v>
      </c>
      <c r="C107" s="2" t="s">
        <v>54</v>
      </c>
      <c r="D107" s="3">
        <v>480</v>
      </c>
      <c r="E107" s="3">
        <v>31</v>
      </c>
      <c r="F107" s="2" t="s">
        <v>40</v>
      </c>
      <c r="G107" s="3">
        <v>1.7854166666666667E-2</v>
      </c>
      <c r="H107" s="3">
        <v>1.6086769386845685E-2</v>
      </c>
      <c r="I107" s="3">
        <v>30</v>
      </c>
      <c r="J107" s="3">
        <v>4.9599178542877008E-3</v>
      </c>
      <c r="K107" s="3">
        <v>44.466666666666669</v>
      </c>
      <c r="L107" s="3">
        <v>32.59215992978816</v>
      </c>
      <c r="M107" s="3">
        <v>30</v>
      </c>
      <c r="N107" s="3">
        <v>0.25675545470821293</v>
      </c>
      <c r="O107" s="3">
        <v>5.5512499999999996</v>
      </c>
      <c r="P107" s="3">
        <v>1.2035122428370499E-2</v>
      </c>
      <c r="Q107" s="3">
        <f t="shared" si="2"/>
        <v>246845.58333333334</v>
      </c>
      <c r="R107" s="3">
        <f t="shared" si="3"/>
        <v>180927.22781023651</v>
      </c>
      <c r="S107" s="2" t="s">
        <v>49</v>
      </c>
      <c r="T107" s="2" t="s">
        <v>45</v>
      </c>
    </row>
    <row r="108" spans="1:20" x14ac:dyDescent="0.2">
      <c r="A108" s="2" t="s">
        <v>11</v>
      </c>
      <c r="B108" s="2" t="s">
        <v>45</v>
      </c>
      <c r="C108" s="2" t="s">
        <v>53</v>
      </c>
      <c r="D108" s="3">
        <v>480</v>
      </c>
      <c r="E108" s="3">
        <v>31</v>
      </c>
      <c r="F108" s="2" t="s">
        <v>40</v>
      </c>
      <c r="G108" s="3">
        <v>6.1483333333333334E-2</v>
      </c>
      <c r="H108" s="3">
        <v>3.9293791565024057E-2</v>
      </c>
      <c r="I108" s="3">
        <v>30</v>
      </c>
      <c r="J108" s="3">
        <v>4.9599178542877008E-3</v>
      </c>
      <c r="K108" s="3">
        <v>44.4</v>
      </c>
      <c r="L108" s="3">
        <v>35.09852798432815</v>
      </c>
      <c r="M108" s="3">
        <v>30</v>
      </c>
      <c r="N108" s="3">
        <v>0.25675545470821293</v>
      </c>
      <c r="O108" s="3">
        <v>5.9257039999999996</v>
      </c>
      <c r="P108" s="3">
        <v>1.2801857834116401E-2</v>
      </c>
      <c r="Q108" s="3">
        <f t="shared" si="2"/>
        <v>263101.25760000001</v>
      </c>
      <c r="R108" s="3">
        <f t="shared" si="3"/>
        <v>207983.48767084526</v>
      </c>
      <c r="S108" s="2" t="s">
        <v>49</v>
      </c>
      <c r="T108" s="2" t="s">
        <v>45</v>
      </c>
    </row>
    <row r="109" spans="1:20" x14ac:dyDescent="0.2">
      <c r="A109" s="2" t="s">
        <v>12</v>
      </c>
      <c r="B109" s="2" t="s">
        <v>51</v>
      </c>
      <c r="C109" s="2" t="s">
        <v>54</v>
      </c>
      <c r="D109" s="3">
        <v>416</v>
      </c>
      <c r="E109" s="3">
        <v>31</v>
      </c>
      <c r="F109" s="2" t="s">
        <v>40</v>
      </c>
      <c r="G109" s="3">
        <v>5.3663333333333327E-2</v>
      </c>
      <c r="H109" s="3">
        <v>2.683962845412648E-2</v>
      </c>
      <c r="I109" s="3">
        <v>30</v>
      </c>
      <c r="J109" s="3">
        <v>4.9599178542877008E-3</v>
      </c>
      <c r="K109" s="3">
        <v>62.06666666666667</v>
      </c>
      <c r="L109" s="3">
        <v>24.75605425390367</v>
      </c>
      <c r="M109" s="3">
        <v>30</v>
      </c>
      <c r="N109" s="3">
        <v>0.25675545470821293</v>
      </c>
      <c r="O109" s="3">
        <v>6.066344</v>
      </c>
      <c r="P109" s="3">
        <v>1.2028293237992999E-2</v>
      </c>
      <c r="Q109" s="3">
        <f t="shared" si="2"/>
        <v>376517.75093333336</v>
      </c>
      <c r="R109" s="3">
        <f t="shared" si="3"/>
        <v>150178.74118684299</v>
      </c>
      <c r="S109" s="2" t="s">
        <v>49</v>
      </c>
      <c r="T109" s="2" t="s">
        <v>46</v>
      </c>
    </row>
    <row r="110" spans="1:20" x14ac:dyDescent="0.2">
      <c r="A110" s="2" t="s">
        <v>13</v>
      </c>
      <c r="B110" s="2" t="s">
        <v>45</v>
      </c>
      <c r="C110" s="2" t="s">
        <v>54</v>
      </c>
      <c r="D110" s="3">
        <v>416</v>
      </c>
      <c r="E110" s="3">
        <v>31</v>
      </c>
      <c r="F110" s="2" t="s">
        <v>40</v>
      </c>
      <c r="G110" s="3">
        <v>4.1916666666666665E-2</v>
      </c>
      <c r="H110" s="3">
        <v>3.1054565776316299E-2</v>
      </c>
      <c r="I110" s="3">
        <v>30</v>
      </c>
      <c r="J110" s="3">
        <v>4.9599178542877008E-3</v>
      </c>
      <c r="K110" s="3">
        <v>79.5</v>
      </c>
      <c r="L110" s="3">
        <v>29.035323314886643</v>
      </c>
      <c r="M110" s="3">
        <v>30</v>
      </c>
      <c r="N110" s="3">
        <v>0.25675545470821293</v>
      </c>
      <c r="O110" s="3">
        <v>6.0628909999999996</v>
      </c>
      <c r="P110" s="3">
        <v>1.19220100959368E-2</v>
      </c>
      <c r="Q110" s="3">
        <f t="shared" si="2"/>
        <v>481999.83449999994</v>
      </c>
      <c r="R110" s="3">
        <f t="shared" si="3"/>
        <v>176038.00040791638</v>
      </c>
      <c r="S110" s="2" t="s">
        <v>49</v>
      </c>
      <c r="T110" s="2" t="s">
        <v>46</v>
      </c>
    </row>
    <row r="111" spans="1:20" x14ac:dyDescent="0.2">
      <c r="A111" s="2" t="s">
        <v>14</v>
      </c>
      <c r="B111" s="2" t="s">
        <v>45</v>
      </c>
      <c r="C111" s="2" t="s">
        <v>53</v>
      </c>
      <c r="D111" s="3">
        <v>416</v>
      </c>
      <c r="E111" s="3">
        <v>31</v>
      </c>
      <c r="F111" s="2" t="s">
        <v>40</v>
      </c>
      <c r="G111" s="3">
        <v>0.10204333333333332</v>
      </c>
      <c r="H111" s="3">
        <v>6.1462485486857926E-2</v>
      </c>
      <c r="I111" s="3">
        <v>30</v>
      </c>
      <c r="J111" s="3">
        <v>4.9599178542877008E-3</v>
      </c>
      <c r="K111" s="3">
        <v>87.066666666666663</v>
      </c>
      <c r="L111" s="3">
        <v>30.125220146729031</v>
      </c>
      <c r="M111" s="3">
        <v>30</v>
      </c>
      <c r="N111" s="3">
        <v>0.25675545470821293</v>
      </c>
      <c r="O111" s="3">
        <v>6.0108129999999997</v>
      </c>
      <c r="P111" s="3">
        <v>1.2256921871027299E-2</v>
      </c>
      <c r="Q111" s="3">
        <f t="shared" si="2"/>
        <v>523341.45186666661</v>
      </c>
      <c r="R111" s="3">
        <f t="shared" si="3"/>
        <v>181077.06488582076</v>
      </c>
      <c r="S111" s="2" t="s">
        <v>49</v>
      </c>
      <c r="T111" s="2" t="s">
        <v>46</v>
      </c>
    </row>
    <row r="112" spans="1:20" x14ac:dyDescent="0.2">
      <c r="A112" s="2" t="s">
        <v>15</v>
      </c>
      <c r="B112" s="2" t="s">
        <v>51</v>
      </c>
      <c r="C112" s="2" t="s">
        <v>53</v>
      </c>
      <c r="D112" s="3">
        <v>432</v>
      </c>
      <c r="E112" s="3">
        <v>31</v>
      </c>
      <c r="F112" s="2" t="s">
        <v>40</v>
      </c>
      <c r="G112" s="3">
        <v>0.10286666666666668</v>
      </c>
      <c r="H112" s="3">
        <v>4.4389490748249064E-2</v>
      </c>
      <c r="I112" s="3">
        <v>30</v>
      </c>
      <c r="J112" s="3">
        <v>4.9599178542877008E-3</v>
      </c>
      <c r="K112" s="3">
        <v>48.366666666666667</v>
      </c>
      <c r="L112" s="3">
        <v>17.822239540030377</v>
      </c>
      <c r="M112" s="3">
        <v>30</v>
      </c>
      <c r="N112" s="3">
        <v>0.25675545470821293</v>
      </c>
      <c r="O112" s="3">
        <v>6.4847039999999998</v>
      </c>
      <c r="P112" s="3">
        <v>1.3059720465307701E-2</v>
      </c>
      <c r="Q112" s="3">
        <f t="shared" si="2"/>
        <v>313643.51679999998</v>
      </c>
      <c r="R112" s="3">
        <f t="shared" si="3"/>
        <v>115571.94803419313</v>
      </c>
      <c r="S112" s="2" t="s">
        <v>49</v>
      </c>
      <c r="T112" s="2" t="s">
        <v>45</v>
      </c>
    </row>
    <row r="113" spans="1:20" x14ac:dyDescent="0.2">
      <c r="A113" s="2" t="s">
        <v>16</v>
      </c>
      <c r="B113" s="2" t="s">
        <v>45</v>
      </c>
      <c r="C113" s="2" t="s">
        <v>53</v>
      </c>
      <c r="D113" s="3">
        <v>432</v>
      </c>
      <c r="E113" s="3">
        <v>31</v>
      </c>
      <c r="F113" s="2" t="s">
        <v>40</v>
      </c>
      <c r="G113" s="3">
        <v>0.11448999999999999</v>
      </c>
      <c r="H113" s="3">
        <v>4.1137171754995504E-2</v>
      </c>
      <c r="I113" s="3">
        <v>30</v>
      </c>
      <c r="J113" s="3">
        <v>4.9599178542877008E-3</v>
      </c>
      <c r="K113" s="3">
        <v>45.633333333333333</v>
      </c>
      <c r="L113" s="3">
        <v>31.559978172080889</v>
      </c>
      <c r="M113" s="3">
        <v>30</v>
      </c>
      <c r="N113" s="3">
        <v>0.25675545470821293</v>
      </c>
      <c r="O113" s="3">
        <v>5.8441879999999999</v>
      </c>
      <c r="P113" s="3">
        <v>1.24432546307582E-2</v>
      </c>
      <c r="Q113" s="3">
        <f t="shared" si="2"/>
        <v>266689.77906666667</v>
      </c>
      <c r="R113" s="3">
        <f t="shared" si="3"/>
        <v>184442.44571353708</v>
      </c>
      <c r="S113" s="2" t="s">
        <v>49</v>
      </c>
      <c r="T113" s="2" t="s">
        <v>45</v>
      </c>
    </row>
    <row r="114" spans="1:20" x14ac:dyDescent="0.2">
      <c r="A114" s="2" t="s">
        <v>1</v>
      </c>
      <c r="B114" s="2" t="s">
        <v>51</v>
      </c>
      <c r="C114" s="2" t="s">
        <v>53</v>
      </c>
      <c r="D114" s="3">
        <v>443</v>
      </c>
      <c r="E114" s="3">
        <v>32</v>
      </c>
      <c r="F114" s="2" t="s">
        <v>24</v>
      </c>
      <c r="G114" s="3">
        <v>4.6386666666666673E-2</v>
      </c>
      <c r="H114" s="3">
        <v>3.4352949735875021E-2</v>
      </c>
      <c r="I114" s="3">
        <v>30</v>
      </c>
      <c r="J114" s="3">
        <v>1.986729463204482E-2</v>
      </c>
      <c r="K114" s="3">
        <v>46.8</v>
      </c>
      <c r="L114" s="3">
        <v>18.944480286704444</v>
      </c>
      <c r="M114" s="3">
        <v>30</v>
      </c>
      <c r="N114" s="3">
        <v>1.1189862600239056E-2</v>
      </c>
      <c r="O114" s="3">
        <v>3.4225310000000002</v>
      </c>
      <c r="P114" s="3">
        <v>7.0478313338305301E-3</v>
      </c>
      <c r="Q114" s="3">
        <f t="shared" si="2"/>
        <v>160174.45080000002</v>
      </c>
      <c r="R114" s="3">
        <f t="shared" si="3"/>
        <v>64838.071060134855</v>
      </c>
      <c r="S114" s="2" t="s">
        <v>49</v>
      </c>
      <c r="T114" s="2" t="s">
        <v>45</v>
      </c>
    </row>
    <row r="115" spans="1:20" x14ac:dyDescent="0.2">
      <c r="A115" s="2" t="s">
        <v>2</v>
      </c>
      <c r="B115" s="2" t="s">
        <v>51</v>
      </c>
      <c r="C115" s="2" t="s">
        <v>54</v>
      </c>
      <c r="D115" s="3">
        <v>459</v>
      </c>
      <c r="E115" s="3">
        <v>32</v>
      </c>
      <c r="F115" s="2" t="s">
        <v>24</v>
      </c>
      <c r="G115" s="3">
        <v>5.5866666666666669E-2</v>
      </c>
      <c r="H115" s="3">
        <v>3.5188495594756848E-2</v>
      </c>
      <c r="I115" s="3">
        <v>30</v>
      </c>
      <c r="J115" s="3">
        <v>1.986729463204482E-2</v>
      </c>
      <c r="K115" s="3">
        <v>73.033333333333331</v>
      </c>
      <c r="L115" s="3">
        <v>32.668520355568937</v>
      </c>
      <c r="M115" s="3">
        <v>30</v>
      </c>
      <c r="N115" s="3">
        <v>1.1189862600239056E-2</v>
      </c>
      <c r="O115" s="3">
        <v>2.895375</v>
      </c>
      <c r="P115" s="3">
        <v>6.0997250258115502E-3</v>
      </c>
      <c r="Q115" s="3">
        <f t="shared" si="2"/>
        <v>211458.88749999998</v>
      </c>
      <c r="R115" s="3">
        <f t="shared" si="3"/>
        <v>94587.617124505414</v>
      </c>
      <c r="S115" s="2" t="s">
        <v>49</v>
      </c>
      <c r="T115" s="2" t="s">
        <v>45</v>
      </c>
    </row>
    <row r="116" spans="1:20" x14ac:dyDescent="0.2">
      <c r="A116" s="2" t="s">
        <v>3</v>
      </c>
      <c r="B116" s="2" t="s">
        <v>45</v>
      </c>
      <c r="C116" s="2" t="s">
        <v>54</v>
      </c>
      <c r="D116" s="3">
        <v>440</v>
      </c>
      <c r="E116" s="3">
        <v>32</v>
      </c>
      <c r="F116" s="2" t="s">
        <v>24</v>
      </c>
      <c r="G116" s="3">
        <v>4.689666666666667E-2</v>
      </c>
      <c r="H116" s="3">
        <v>2.2278502094071666E-2</v>
      </c>
      <c r="I116" s="3">
        <v>30</v>
      </c>
      <c r="J116" s="3">
        <v>1.986729463204482E-2</v>
      </c>
      <c r="K116" s="3">
        <v>69.599999999999994</v>
      </c>
      <c r="L116" s="3">
        <v>26.697815141567919</v>
      </c>
      <c r="M116" s="3">
        <v>30</v>
      </c>
      <c r="N116" s="3">
        <v>1.1189862600239056E-2</v>
      </c>
      <c r="O116" s="3">
        <v>3.1475939999999998</v>
      </c>
      <c r="P116" s="3">
        <v>6.5306977974884297E-3</v>
      </c>
      <c r="Q116" s="3">
        <f t="shared" si="2"/>
        <v>219072.54239999998</v>
      </c>
      <c r="R116" s="3">
        <f t="shared" si="3"/>
        <v>84033.882752708334</v>
      </c>
      <c r="S116" s="2" t="s">
        <v>49</v>
      </c>
      <c r="T116" s="2" t="s">
        <v>45</v>
      </c>
    </row>
    <row r="117" spans="1:20" x14ac:dyDescent="0.2">
      <c r="A117" s="2" t="s">
        <v>4</v>
      </c>
      <c r="B117" s="2" t="s">
        <v>45</v>
      </c>
      <c r="C117" s="2" t="s">
        <v>53</v>
      </c>
      <c r="D117" s="3">
        <v>440</v>
      </c>
      <c r="E117" s="3">
        <v>32</v>
      </c>
      <c r="F117" s="2" t="s">
        <v>24</v>
      </c>
      <c r="G117" s="3">
        <v>4.867666666666666E-2</v>
      </c>
      <c r="H117" s="3">
        <v>3.6132899905149542E-2</v>
      </c>
      <c r="I117" s="3">
        <v>30</v>
      </c>
      <c r="J117" s="3">
        <v>1.986729463204482E-2</v>
      </c>
      <c r="K117" s="3">
        <v>52.7</v>
      </c>
      <c r="L117" s="3">
        <v>25.127872970070509</v>
      </c>
      <c r="M117" s="3">
        <v>30</v>
      </c>
      <c r="N117" s="3">
        <v>1.1189862600239056E-2</v>
      </c>
      <c r="O117" s="3">
        <v>3.139688</v>
      </c>
      <c r="P117" s="3">
        <v>6.63839871596115E-3</v>
      </c>
      <c r="Q117" s="3">
        <f t="shared" si="2"/>
        <v>165461.5576</v>
      </c>
      <c r="R117" s="3">
        <f t="shared" si="3"/>
        <v>78893.681229654729</v>
      </c>
      <c r="S117" s="2" t="s">
        <v>49</v>
      </c>
      <c r="T117" s="2" t="s">
        <v>45</v>
      </c>
    </row>
    <row r="118" spans="1:20" x14ac:dyDescent="0.2">
      <c r="A118" s="2" t="s">
        <v>5</v>
      </c>
      <c r="B118" s="2" t="s">
        <v>51</v>
      </c>
      <c r="C118" s="2" t="s">
        <v>53</v>
      </c>
      <c r="D118" s="3">
        <v>459</v>
      </c>
      <c r="E118" s="3">
        <v>32</v>
      </c>
      <c r="F118" s="2" t="s">
        <v>24</v>
      </c>
      <c r="G118" s="3">
        <v>5.0375862068965514E-2</v>
      </c>
      <c r="H118" s="3">
        <v>5.4022777157815977E-2</v>
      </c>
      <c r="I118" s="3">
        <v>30</v>
      </c>
      <c r="J118" s="3">
        <v>1.986729463204482E-2</v>
      </c>
      <c r="K118" s="3">
        <v>27.8</v>
      </c>
      <c r="L118" s="3">
        <v>21.632383132701769</v>
      </c>
      <c r="M118" s="3">
        <v>30</v>
      </c>
      <c r="N118" s="3">
        <v>1.1189862600239056E-2</v>
      </c>
      <c r="O118" s="3">
        <v>3.3087029999999999</v>
      </c>
      <c r="P118" s="3">
        <v>6.8556012900774397E-3</v>
      </c>
      <c r="Q118" s="3">
        <f t="shared" si="2"/>
        <v>91981.943400000004</v>
      </c>
      <c r="R118" s="3">
        <f t="shared" si="3"/>
        <v>71575.130968319732</v>
      </c>
      <c r="S118" s="2" t="s">
        <v>49</v>
      </c>
      <c r="T118" s="2" t="s">
        <v>45</v>
      </c>
    </row>
    <row r="119" spans="1:20" x14ac:dyDescent="0.2">
      <c r="A119" s="2" t="s">
        <v>6</v>
      </c>
      <c r="B119" s="2" t="s">
        <v>45</v>
      </c>
      <c r="C119" s="2" t="s">
        <v>54</v>
      </c>
      <c r="D119" s="3">
        <v>446</v>
      </c>
      <c r="E119" s="3">
        <v>32</v>
      </c>
      <c r="F119" s="2" t="s">
        <v>24</v>
      </c>
      <c r="G119" s="3">
        <v>2.9789655172413793E-2</v>
      </c>
      <c r="H119" s="3">
        <v>3.146166079343387E-2</v>
      </c>
      <c r="I119" s="3">
        <v>30</v>
      </c>
      <c r="J119" s="3">
        <v>1.986729463204482E-2</v>
      </c>
      <c r="K119" s="3">
        <v>55.3</v>
      </c>
      <c r="L119" s="3">
        <v>26.259157132957128</v>
      </c>
      <c r="M119" s="3">
        <v>30</v>
      </c>
      <c r="N119" s="3">
        <v>1.1189862600239056E-2</v>
      </c>
      <c r="O119" s="3">
        <v>3.075485</v>
      </c>
      <c r="P119" s="3">
        <v>6.43840018111196E-3</v>
      </c>
      <c r="Q119" s="3">
        <f t="shared" si="2"/>
        <v>170074.3205</v>
      </c>
      <c r="R119" s="3">
        <f t="shared" si="3"/>
        <v>80759.643875052658</v>
      </c>
      <c r="S119" s="2" t="s">
        <v>49</v>
      </c>
      <c r="T119" s="2" t="s">
        <v>45</v>
      </c>
    </row>
    <row r="120" spans="1:20" x14ac:dyDescent="0.2">
      <c r="A120" s="2" t="s">
        <v>7</v>
      </c>
      <c r="B120" s="2" t="s">
        <v>51</v>
      </c>
      <c r="C120" s="2" t="s">
        <v>53</v>
      </c>
      <c r="D120" s="3">
        <v>416</v>
      </c>
      <c r="E120" s="3">
        <v>32</v>
      </c>
      <c r="F120" s="2" t="s">
        <v>24</v>
      </c>
      <c r="G120" s="3">
        <v>0.10692333333333331</v>
      </c>
      <c r="H120" s="3">
        <v>3.8726241605517159E-2</v>
      </c>
      <c r="I120" s="3">
        <v>30</v>
      </c>
      <c r="J120" s="3">
        <v>1.986729463204482E-2</v>
      </c>
      <c r="K120" s="3">
        <v>41.3</v>
      </c>
      <c r="L120" s="3">
        <v>26.25280937347468</v>
      </c>
      <c r="M120" s="3">
        <v>30</v>
      </c>
      <c r="N120" s="3">
        <v>1.1189862600239056E-2</v>
      </c>
      <c r="O120" s="3">
        <v>3.5131250000000001</v>
      </c>
      <c r="P120" s="3">
        <v>7.1350736175304604E-3</v>
      </c>
      <c r="Q120" s="3">
        <f t="shared" si="2"/>
        <v>145092.0625</v>
      </c>
      <c r="R120" s="3">
        <f t="shared" si="3"/>
        <v>92229.400930188232</v>
      </c>
      <c r="S120" s="2" t="s">
        <v>49</v>
      </c>
      <c r="T120" s="2" t="s">
        <v>46</v>
      </c>
    </row>
    <row r="121" spans="1:20" x14ac:dyDescent="0.2">
      <c r="A121" s="2" t="s">
        <v>8</v>
      </c>
      <c r="B121" s="2" t="s">
        <v>45</v>
      </c>
      <c r="C121" s="2" t="s">
        <v>54</v>
      </c>
      <c r="D121" s="3">
        <v>494</v>
      </c>
      <c r="E121" s="3">
        <v>32</v>
      </c>
      <c r="F121" s="2" t="s">
        <v>24</v>
      </c>
      <c r="G121" s="3">
        <v>4.016666666666667E-2</v>
      </c>
      <c r="H121" s="3">
        <v>3.1704030588484415E-2</v>
      </c>
      <c r="I121" s="3">
        <v>30</v>
      </c>
      <c r="J121" s="3">
        <v>1.986729463204482E-2</v>
      </c>
      <c r="K121" s="3">
        <v>51</v>
      </c>
      <c r="L121" s="3">
        <v>20.503658210182884</v>
      </c>
      <c r="M121" s="3">
        <v>30</v>
      </c>
      <c r="N121" s="3">
        <v>1.1189862600239056E-2</v>
      </c>
      <c r="O121" s="3">
        <v>3.135453</v>
      </c>
      <c r="P121" s="3">
        <v>6.4941705322525403E-3</v>
      </c>
      <c r="Q121" s="3">
        <f t="shared" si="2"/>
        <v>159908.103</v>
      </c>
      <c r="R121" s="3">
        <f t="shared" si="3"/>
        <v>64288.256646092552</v>
      </c>
      <c r="S121" s="2" t="s">
        <v>49</v>
      </c>
      <c r="T121" s="2" t="s">
        <v>45</v>
      </c>
    </row>
    <row r="122" spans="1:20" x14ac:dyDescent="0.2">
      <c r="A122" s="2" t="s">
        <v>9</v>
      </c>
      <c r="B122" s="2" t="s">
        <v>51</v>
      </c>
      <c r="C122" s="2" t="s">
        <v>53</v>
      </c>
      <c r="D122" s="3">
        <v>480</v>
      </c>
      <c r="E122" s="3">
        <v>32</v>
      </c>
      <c r="F122" s="2" t="s">
        <v>24</v>
      </c>
      <c r="G122" s="3">
        <v>3.6359999999999996E-2</v>
      </c>
      <c r="H122" s="3">
        <v>2.6766553756507397E-2</v>
      </c>
      <c r="I122" s="3">
        <v>30</v>
      </c>
      <c r="J122" s="3">
        <v>1.986729463204482E-2</v>
      </c>
      <c r="K122" s="3">
        <v>54.06666666666667</v>
      </c>
      <c r="L122" s="3">
        <v>23.958204347478873</v>
      </c>
      <c r="M122" s="3">
        <v>30</v>
      </c>
      <c r="N122" s="3">
        <v>1.1189862600239056E-2</v>
      </c>
      <c r="O122" s="3">
        <v>3.392328</v>
      </c>
      <c r="P122" s="3">
        <v>7.1358383149351902E-3</v>
      </c>
      <c r="Q122" s="3">
        <f t="shared" si="2"/>
        <v>183411.86720000001</v>
      </c>
      <c r="R122" s="3">
        <f t="shared" si="3"/>
        <v>81274.087437674316</v>
      </c>
      <c r="S122" s="2" t="s">
        <v>49</v>
      </c>
      <c r="T122" s="2" t="s">
        <v>45</v>
      </c>
    </row>
    <row r="123" spans="1:20" x14ac:dyDescent="0.2">
      <c r="A123" s="2" t="s">
        <v>10</v>
      </c>
      <c r="B123" s="2" t="s">
        <v>45</v>
      </c>
      <c r="C123" s="2" t="s">
        <v>54</v>
      </c>
      <c r="D123" s="3">
        <v>480</v>
      </c>
      <c r="E123" s="3">
        <v>32</v>
      </c>
      <c r="F123" s="2" t="s">
        <v>24</v>
      </c>
      <c r="G123" s="3">
        <v>2.5403448275862071E-2</v>
      </c>
      <c r="H123" s="3">
        <v>3.2731714903487516E-2</v>
      </c>
      <c r="I123" s="3">
        <v>30</v>
      </c>
      <c r="J123" s="3">
        <v>1.986729463204482E-2</v>
      </c>
      <c r="K123" s="3">
        <v>51.2</v>
      </c>
      <c r="L123" s="3">
        <v>25.235424836262744</v>
      </c>
      <c r="M123" s="3">
        <v>30</v>
      </c>
      <c r="N123" s="3">
        <v>1.1189862600239056E-2</v>
      </c>
      <c r="O123" s="3">
        <v>2.9479690000000001</v>
      </c>
      <c r="P123" s="3">
        <v>6.3912033920362201E-3</v>
      </c>
      <c r="Q123" s="3">
        <f t="shared" si="2"/>
        <v>150936.0128</v>
      </c>
      <c r="R123" s="3">
        <f t="shared" si="3"/>
        <v>74393.250119132645</v>
      </c>
      <c r="S123" s="2" t="s">
        <v>49</v>
      </c>
      <c r="T123" s="2" t="s">
        <v>45</v>
      </c>
    </row>
    <row r="124" spans="1:20" x14ac:dyDescent="0.2">
      <c r="A124" s="2" t="s">
        <v>11</v>
      </c>
      <c r="B124" s="2" t="s">
        <v>45</v>
      </c>
      <c r="C124" s="2" t="s">
        <v>53</v>
      </c>
      <c r="D124" s="3">
        <v>480</v>
      </c>
      <c r="E124" s="3">
        <v>32</v>
      </c>
      <c r="F124" s="2" t="s">
        <v>24</v>
      </c>
      <c r="G124" s="3">
        <v>5.8230000000000004E-2</v>
      </c>
      <c r="H124" s="3">
        <v>3.4113996638720979E-2</v>
      </c>
      <c r="I124" s="3">
        <v>30</v>
      </c>
      <c r="J124" s="3">
        <v>1.986729463204482E-2</v>
      </c>
      <c r="K124" s="3">
        <v>61.3</v>
      </c>
      <c r="L124" s="3">
        <v>25.36684187412116</v>
      </c>
      <c r="M124" s="3">
        <v>30</v>
      </c>
      <c r="N124" s="3">
        <v>1.1189862600239056E-2</v>
      </c>
      <c r="O124" s="3">
        <v>3.1478600000000001</v>
      </c>
      <c r="P124" s="3">
        <v>6.8006191672249699E-3</v>
      </c>
      <c r="Q124" s="3">
        <f t="shared" si="2"/>
        <v>192963.818</v>
      </c>
      <c r="R124" s="3">
        <f t="shared" si="3"/>
        <v>79851.266861871045</v>
      </c>
      <c r="S124" s="2" t="s">
        <v>49</v>
      </c>
      <c r="T124" s="2" t="s">
        <v>45</v>
      </c>
    </row>
    <row r="125" spans="1:20" x14ac:dyDescent="0.2">
      <c r="A125" s="2" t="s">
        <v>12</v>
      </c>
      <c r="B125" s="2" t="s">
        <v>51</v>
      </c>
      <c r="C125" s="2" t="s">
        <v>54</v>
      </c>
      <c r="D125" s="3">
        <v>416</v>
      </c>
      <c r="E125" s="3">
        <v>32</v>
      </c>
      <c r="F125" s="2" t="s">
        <v>24</v>
      </c>
      <c r="G125" s="3">
        <v>4.4266666666666662E-2</v>
      </c>
      <c r="H125" s="3">
        <v>3.0431872911289716E-2</v>
      </c>
      <c r="I125" s="3">
        <v>30</v>
      </c>
      <c r="J125" s="3">
        <v>1.986729463204482E-2</v>
      </c>
      <c r="K125" s="3">
        <v>75.833333333333329</v>
      </c>
      <c r="L125" s="3">
        <v>34.24138172186138</v>
      </c>
      <c r="M125" s="3">
        <v>30</v>
      </c>
      <c r="N125" s="3">
        <v>1.1189862600239056E-2</v>
      </c>
      <c r="O125" s="3">
        <v>3.368703</v>
      </c>
      <c r="P125" s="3">
        <v>6.6794345186667404E-3</v>
      </c>
      <c r="Q125" s="3">
        <f t="shared" si="2"/>
        <v>255459.97749999998</v>
      </c>
      <c r="R125" s="3">
        <f t="shared" si="3"/>
        <v>115349.04533057958</v>
      </c>
      <c r="S125" s="2" t="s">
        <v>49</v>
      </c>
      <c r="T125" s="2" t="s">
        <v>46</v>
      </c>
    </row>
    <row r="126" spans="1:20" x14ac:dyDescent="0.2">
      <c r="A126" s="2" t="s">
        <v>13</v>
      </c>
      <c r="B126" s="2" t="s">
        <v>45</v>
      </c>
      <c r="C126" s="2" t="s">
        <v>54</v>
      </c>
      <c r="D126" s="3">
        <v>416</v>
      </c>
      <c r="E126" s="3">
        <v>32</v>
      </c>
      <c r="F126" s="2" t="s">
        <v>24</v>
      </c>
      <c r="G126" s="3">
        <v>4.7703333333333341E-2</v>
      </c>
      <c r="H126" s="3">
        <v>3.369806605067352E-2</v>
      </c>
      <c r="I126" s="3">
        <v>30</v>
      </c>
      <c r="J126" s="3">
        <v>1.986729463204482E-2</v>
      </c>
      <c r="K126" s="3">
        <v>74.066666666666663</v>
      </c>
      <c r="L126" s="3">
        <v>31.493844195687231</v>
      </c>
      <c r="M126" s="3">
        <v>30</v>
      </c>
      <c r="N126" s="3">
        <v>1.1189862600239056E-2</v>
      </c>
      <c r="O126" s="3">
        <v>3.4524059999999999</v>
      </c>
      <c r="P126" s="3">
        <v>6.7887776948773997E-3</v>
      </c>
      <c r="Q126" s="3">
        <f t="shared" si="2"/>
        <v>255708.20439999996</v>
      </c>
      <c r="R126" s="3">
        <f t="shared" si="3"/>
        <v>108729.53666425576</v>
      </c>
      <c r="S126" s="2" t="s">
        <v>49</v>
      </c>
      <c r="T126" s="2" t="s">
        <v>46</v>
      </c>
    </row>
    <row r="127" spans="1:20" x14ac:dyDescent="0.2">
      <c r="A127" s="2" t="s">
        <v>14</v>
      </c>
      <c r="B127" s="2" t="s">
        <v>45</v>
      </c>
      <c r="C127" s="2" t="s">
        <v>53</v>
      </c>
      <c r="D127" s="3">
        <v>416</v>
      </c>
      <c r="E127" s="3">
        <v>32</v>
      </c>
      <c r="F127" s="2" t="s">
        <v>24</v>
      </c>
      <c r="G127" s="3">
        <v>0.10335</v>
      </c>
      <c r="H127" s="3">
        <v>3.4498548278635341E-2</v>
      </c>
      <c r="I127" s="3">
        <v>30</v>
      </c>
      <c r="J127" s="3">
        <v>1.986729463204482E-2</v>
      </c>
      <c r="K127" s="3">
        <v>41.9</v>
      </c>
      <c r="L127" s="3">
        <v>23.192455669894031</v>
      </c>
      <c r="M127" s="3">
        <v>30</v>
      </c>
      <c r="N127" s="3">
        <v>1.1189862600239056E-2</v>
      </c>
      <c r="O127" s="3">
        <v>3.4252820000000002</v>
      </c>
      <c r="P127" s="3">
        <v>6.9846481433104403E-3</v>
      </c>
      <c r="Q127" s="3">
        <f t="shared" si="2"/>
        <v>143519.31580000001</v>
      </c>
      <c r="R127" s="3">
        <f t="shared" si="3"/>
        <v>79440.700941885982</v>
      </c>
      <c r="S127" s="2" t="s">
        <v>49</v>
      </c>
      <c r="T127" s="2" t="s">
        <v>46</v>
      </c>
    </row>
    <row r="128" spans="1:20" x14ac:dyDescent="0.2">
      <c r="A128" s="2" t="s">
        <v>15</v>
      </c>
      <c r="B128" s="2" t="s">
        <v>51</v>
      </c>
      <c r="C128" s="2" t="s">
        <v>53</v>
      </c>
      <c r="D128" s="3">
        <v>432</v>
      </c>
      <c r="E128" s="3">
        <v>32</v>
      </c>
      <c r="F128" s="2" t="s">
        <v>24</v>
      </c>
      <c r="G128" s="3">
        <v>9.7676666666666662E-2</v>
      </c>
      <c r="H128" s="3">
        <v>4.2433796933838273E-2</v>
      </c>
      <c r="I128" s="3">
        <v>30</v>
      </c>
      <c r="J128" s="3">
        <v>1.986729463204482E-2</v>
      </c>
      <c r="K128" s="3">
        <v>54.6</v>
      </c>
      <c r="L128" s="3">
        <v>26.509872374897117</v>
      </c>
      <c r="M128" s="3">
        <v>30</v>
      </c>
      <c r="N128" s="3">
        <v>1.1189862600239056E-2</v>
      </c>
      <c r="O128" s="3">
        <v>3.8668439999999999</v>
      </c>
      <c r="P128" s="3">
        <v>7.7875415320348296E-3</v>
      </c>
      <c r="Q128" s="3">
        <f t="shared" si="2"/>
        <v>211129.68239999999</v>
      </c>
      <c r="R128" s="3">
        <f t="shared" si="3"/>
        <v>102509.54093363667</v>
      </c>
      <c r="S128" s="2" t="s">
        <v>49</v>
      </c>
      <c r="T128" s="2" t="s">
        <v>45</v>
      </c>
    </row>
    <row r="129" spans="1:20" x14ac:dyDescent="0.2">
      <c r="A129" s="2" t="s">
        <v>16</v>
      </c>
      <c r="B129" s="2" t="s">
        <v>45</v>
      </c>
      <c r="C129" s="2" t="s">
        <v>53</v>
      </c>
      <c r="D129" s="3">
        <v>432</v>
      </c>
      <c r="E129" s="3">
        <v>32</v>
      </c>
      <c r="F129" s="2" t="s">
        <v>24</v>
      </c>
      <c r="G129" s="3">
        <v>9.7780000000000006E-2</v>
      </c>
      <c r="H129" s="3">
        <v>3.8457573159695523E-2</v>
      </c>
      <c r="I129" s="3">
        <v>30</v>
      </c>
      <c r="J129" s="3">
        <v>1.986729463204482E-2</v>
      </c>
      <c r="K129" s="3">
        <v>56.466666666666669</v>
      </c>
      <c r="L129" s="3">
        <v>23.416138784085547</v>
      </c>
      <c r="M129" s="3">
        <v>30</v>
      </c>
      <c r="N129" s="3">
        <v>1.1189862600239056E-2</v>
      </c>
      <c r="O129" s="3">
        <v>3.221781</v>
      </c>
      <c r="P129" s="3">
        <v>6.8597111091461497E-3</v>
      </c>
      <c r="Q129" s="3">
        <f t="shared" si="2"/>
        <v>181923.23380000002</v>
      </c>
      <c r="R129" s="3">
        <f t="shared" si="3"/>
        <v>75441.671027929915</v>
      </c>
      <c r="S129" s="2" t="s">
        <v>49</v>
      </c>
      <c r="T129" s="2" t="s">
        <v>45</v>
      </c>
    </row>
    <row r="130" spans="1:20" x14ac:dyDescent="0.2">
      <c r="A130" s="2" t="s">
        <v>1</v>
      </c>
      <c r="B130" s="2" t="s">
        <v>51</v>
      </c>
      <c r="C130" s="2" t="s">
        <v>53</v>
      </c>
      <c r="D130" s="3">
        <v>443</v>
      </c>
      <c r="E130" s="3">
        <v>41</v>
      </c>
      <c r="F130" s="2" t="s">
        <v>29</v>
      </c>
      <c r="G130" s="3">
        <v>7.2203333333333328E-2</v>
      </c>
      <c r="H130" s="3">
        <v>4.5367539668308615E-2</v>
      </c>
      <c r="I130" s="3">
        <v>30</v>
      </c>
      <c r="J130" s="3">
        <v>1.1841108130342535E-2</v>
      </c>
      <c r="K130" s="3">
        <v>57.7</v>
      </c>
      <c r="L130" s="3">
        <v>26.734684088900948</v>
      </c>
      <c r="M130" s="3">
        <v>30</v>
      </c>
      <c r="N130" s="3">
        <v>7.187487833609299E-2</v>
      </c>
      <c r="O130" s="3">
        <v>1.050797</v>
      </c>
      <c r="P130" s="3">
        <v>2.16384892411351E-3</v>
      </c>
      <c r="Q130" s="3">
        <f t="shared" si="2"/>
        <v>60630.986899999996</v>
      </c>
      <c r="R130" s="3">
        <f t="shared" si="3"/>
        <v>28092.725836564849</v>
      </c>
      <c r="S130" s="2" t="s">
        <v>49</v>
      </c>
      <c r="T130" s="2" t="s">
        <v>45</v>
      </c>
    </row>
    <row r="131" spans="1:20" x14ac:dyDescent="0.2">
      <c r="A131" s="2" t="s">
        <v>2</v>
      </c>
      <c r="B131" s="2" t="s">
        <v>51</v>
      </c>
      <c r="C131" s="2" t="s">
        <v>54</v>
      </c>
      <c r="D131" s="3">
        <v>459</v>
      </c>
      <c r="E131" s="3">
        <v>41</v>
      </c>
      <c r="F131" s="2" t="s">
        <v>29</v>
      </c>
      <c r="G131" s="3">
        <v>2.7796666666666657E-2</v>
      </c>
      <c r="H131" s="3">
        <v>1.3320772833769402E-2</v>
      </c>
      <c r="I131" s="3">
        <v>30</v>
      </c>
      <c r="J131" s="3">
        <v>1.1841108130342535E-2</v>
      </c>
      <c r="K131" s="3">
        <v>97.63333333333334</v>
      </c>
      <c r="L131" s="3">
        <v>25.976249836255342</v>
      </c>
      <c r="M131" s="3">
        <v>30</v>
      </c>
      <c r="N131" s="3">
        <v>7.187487833609299E-2</v>
      </c>
      <c r="O131" s="3">
        <v>0.9065782</v>
      </c>
      <c r="P131" s="3">
        <v>1.9099003529405301E-3</v>
      </c>
      <c r="Q131" s="3">
        <f t="shared" ref="Q131:Q194" si="4">K131*1000*O131</f>
        <v>88512.251593333349</v>
      </c>
      <c r="R131" s="3">
        <f t="shared" ref="R131:R194" si="5">L131*1000*O131</f>
        <v>23549.501819302663</v>
      </c>
      <c r="S131" s="2" t="s">
        <v>49</v>
      </c>
      <c r="T131" s="2" t="s">
        <v>45</v>
      </c>
    </row>
    <row r="132" spans="1:20" x14ac:dyDescent="0.2">
      <c r="A132" s="2" t="s">
        <v>3</v>
      </c>
      <c r="B132" s="2" t="s">
        <v>45</v>
      </c>
      <c r="C132" s="2" t="s">
        <v>54</v>
      </c>
      <c r="D132" s="3">
        <v>440</v>
      </c>
      <c r="E132" s="3">
        <v>41</v>
      </c>
      <c r="F132" s="2" t="s">
        <v>29</v>
      </c>
      <c r="G132" s="3">
        <v>2.4996666666666667E-2</v>
      </c>
      <c r="H132" s="3">
        <v>2.1995840263306355E-2</v>
      </c>
      <c r="I132" s="3">
        <v>30</v>
      </c>
      <c r="J132" s="3">
        <v>1.1841108130342535E-2</v>
      </c>
      <c r="K132" s="3">
        <v>109.96666666666668</v>
      </c>
      <c r="L132" s="3">
        <v>17.063573938526346</v>
      </c>
      <c r="M132" s="3">
        <v>30</v>
      </c>
      <c r="N132" s="3">
        <v>7.187487833609299E-2</v>
      </c>
      <c r="O132" s="3">
        <v>0.88073440000000003</v>
      </c>
      <c r="P132" s="3">
        <v>1.8273672545608801E-3</v>
      </c>
      <c r="Q132" s="3">
        <f t="shared" si="4"/>
        <v>96851.426186666693</v>
      </c>
      <c r="R132" s="3">
        <f t="shared" si="5"/>
        <v>15028.47655460364</v>
      </c>
      <c r="S132" s="2" t="s">
        <v>49</v>
      </c>
      <c r="T132" s="2" t="s">
        <v>45</v>
      </c>
    </row>
    <row r="133" spans="1:20" x14ac:dyDescent="0.2">
      <c r="A133" s="2" t="s">
        <v>4</v>
      </c>
      <c r="B133" s="2" t="s">
        <v>45</v>
      </c>
      <c r="C133" s="2" t="s">
        <v>53</v>
      </c>
      <c r="D133" s="3">
        <v>440</v>
      </c>
      <c r="E133" s="3">
        <v>41</v>
      </c>
      <c r="F133" s="2" t="s">
        <v>29</v>
      </c>
      <c r="G133" s="3">
        <v>3.9834482758620691E-2</v>
      </c>
      <c r="H133" s="3">
        <v>2.5897547159342955E-2</v>
      </c>
      <c r="I133" s="3">
        <v>30</v>
      </c>
      <c r="J133" s="3">
        <v>1.1841108130342535E-2</v>
      </c>
      <c r="K133" s="3">
        <v>68.433333333333337</v>
      </c>
      <c r="L133" s="3">
        <v>21.614321383954874</v>
      </c>
      <c r="M133" s="3">
        <v>30</v>
      </c>
      <c r="N133" s="3">
        <v>7.187487833609299E-2</v>
      </c>
      <c r="O133" s="3">
        <v>0.92759380000000002</v>
      </c>
      <c r="P133" s="3">
        <v>1.96125777174468E-3</v>
      </c>
      <c r="Q133" s="3">
        <f t="shared" si="4"/>
        <v>63478.335713333341</v>
      </c>
      <c r="R133" s="3">
        <f t="shared" si="5"/>
        <v>20049.310506963961</v>
      </c>
      <c r="S133" s="2" t="s">
        <v>49</v>
      </c>
      <c r="T133" s="2" t="s">
        <v>45</v>
      </c>
    </row>
    <row r="134" spans="1:20" x14ac:dyDescent="0.2">
      <c r="A134" s="2" t="s">
        <v>5</v>
      </c>
      <c r="B134" s="2" t="s">
        <v>51</v>
      </c>
      <c r="C134" s="2" t="s">
        <v>53</v>
      </c>
      <c r="D134" s="3">
        <v>459</v>
      </c>
      <c r="E134" s="3">
        <v>41</v>
      </c>
      <c r="F134" s="2" t="s">
        <v>29</v>
      </c>
      <c r="G134" s="3">
        <v>4.3889999999999998E-2</v>
      </c>
      <c r="H134" s="3">
        <v>1.8958768419915891E-2</v>
      </c>
      <c r="I134" s="3">
        <v>30</v>
      </c>
      <c r="J134" s="3">
        <v>1.1841108130342535E-2</v>
      </c>
      <c r="K134" s="3">
        <v>39.299999999999997</v>
      </c>
      <c r="L134" s="3">
        <v>20.990712231841968</v>
      </c>
      <c r="M134" s="3">
        <v>30</v>
      </c>
      <c r="N134" s="3">
        <v>7.187487833609299E-2</v>
      </c>
      <c r="O134" s="3">
        <v>1.040219</v>
      </c>
      <c r="P134" s="3">
        <v>2.1553239194823698E-3</v>
      </c>
      <c r="Q134" s="3">
        <f t="shared" si="4"/>
        <v>40880.606699999997</v>
      </c>
      <c r="R134" s="3">
        <f t="shared" si="5"/>
        <v>21834.937687094422</v>
      </c>
      <c r="S134" s="2" t="s">
        <v>49</v>
      </c>
      <c r="T134" s="2" t="s">
        <v>45</v>
      </c>
    </row>
    <row r="135" spans="1:20" x14ac:dyDescent="0.2">
      <c r="A135" s="2" t="s">
        <v>6</v>
      </c>
      <c r="B135" s="2" t="s">
        <v>45</v>
      </c>
      <c r="C135" s="2" t="s">
        <v>54</v>
      </c>
      <c r="D135" s="3">
        <v>446</v>
      </c>
      <c r="E135" s="3">
        <v>41</v>
      </c>
      <c r="F135" s="2" t="s">
        <v>29</v>
      </c>
      <c r="G135" s="3">
        <v>3.3582142857142859E-2</v>
      </c>
      <c r="H135" s="3">
        <v>3.0975186538945147E-2</v>
      </c>
      <c r="I135" s="3">
        <v>30</v>
      </c>
      <c r="J135" s="3">
        <v>1.1841108130342535E-2</v>
      </c>
      <c r="K135" s="3">
        <v>73.466666666666669</v>
      </c>
      <c r="L135" s="3">
        <v>21.795616276877535</v>
      </c>
      <c r="M135" s="3">
        <v>30</v>
      </c>
      <c r="N135" s="3">
        <v>7.187487833609299E-2</v>
      </c>
      <c r="O135" s="3">
        <v>0.87220319999999996</v>
      </c>
      <c r="P135" s="3">
        <v>1.8259211931927601E-3</v>
      </c>
      <c r="Q135" s="3">
        <f t="shared" si="4"/>
        <v>64077.86176</v>
      </c>
      <c r="R135" s="3">
        <f t="shared" si="5"/>
        <v>19010.206262664673</v>
      </c>
      <c r="S135" s="2" t="s">
        <v>49</v>
      </c>
      <c r="T135" s="2" t="s">
        <v>45</v>
      </c>
    </row>
    <row r="136" spans="1:20" x14ac:dyDescent="0.2">
      <c r="A136" s="2" t="s">
        <v>7</v>
      </c>
      <c r="B136" s="2" t="s">
        <v>51</v>
      </c>
      <c r="C136" s="2" t="s">
        <v>53</v>
      </c>
      <c r="D136" s="3">
        <v>416</v>
      </c>
      <c r="E136" s="3">
        <v>41</v>
      </c>
      <c r="F136" s="2" t="s">
        <v>29</v>
      </c>
      <c r="G136" s="3">
        <v>0.11313666666666668</v>
      </c>
      <c r="H136" s="3">
        <v>6.130585879198025E-2</v>
      </c>
      <c r="I136" s="3">
        <v>30</v>
      </c>
      <c r="J136" s="3">
        <v>1.1841108130342535E-2</v>
      </c>
      <c r="K136" s="3">
        <v>84.233333333333334</v>
      </c>
      <c r="L136" s="3">
        <v>24.164275743796299</v>
      </c>
      <c r="M136" s="3">
        <v>30</v>
      </c>
      <c r="N136" s="3">
        <v>7.187487833609299E-2</v>
      </c>
      <c r="O136" s="3">
        <v>1.118703</v>
      </c>
      <c r="P136" s="3">
        <v>2.2720592808830199E-3</v>
      </c>
      <c r="Q136" s="3">
        <f t="shared" si="4"/>
        <v>94232.082699999999</v>
      </c>
      <c r="R136" s="3">
        <f t="shared" si="5"/>
        <v>27032.647767412152</v>
      </c>
      <c r="S136" s="2" t="s">
        <v>49</v>
      </c>
      <c r="T136" s="2" t="s">
        <v>46</v>
      </c>
    </row>
    <row r="137" spans="1:20" x14ac:dyDescent="0.2">
      <c r="A137" s="2" t="s">
        <v>8</v>
      </c>
      <c r="B137" s="2" t="s">
        <v>45</v>
      </c>
      <c r="C137" s="2" t="s">
        <v>54</v>
      </c>
      <c r="D137" s="3">
        <v>494</v>
      </c>
      <c r="E137" s="3">
        <v>41</v>
      </c>
      <c r="F137" s="2" t="s">
        <v>29</v>
      </c>
      <c r="G137" s="3">
        <v>3.8285714285714291E-2</v>
      </c>
      <c r="H137" s="3">
        <v>2.7976453291572004E-2</v>
      </c>
      <c r="I137" s="3">
        <v>30</v>
      </c>
      <c r="J137" s="3">
        <v>1.1841108130342535E-2</v>
      </c>
      <c r="K137" s="3">
        <v>82.666666666666671</v>
      </c>
      <c r="L137" s="3">
        <v>19.430788855719559</v>
      </c>
      <c r="M137" s="3">
        <v>30</v>
      </c>
      <c r="N137" s="3">
        <v>7.187487833609299E-2</v>
      </c>
      <c r="O137" s="3">
        <v>0.92407819999999996</v>
      </c>
      <c r="P137" s="3">
        <v>1.91395674434825E-3</v>
      </c>
      <c r="Q137" s="3">
        <f t="shared" si="4"/>
        <v>76390.464533333332</v>
      </c>
      <c r="R137" s="3">
        <f t="shared" si="5"/>
        <v>17955.568390373388</v>
      </c>
      <c r="S137" s="2" t="s">
        <v>49</v>
      </c>
      <c r="T137" s="2" t="s">
        <v>45</v>
      </c>
    </row>
    <row r="138" spans="1:20" x14ac:dyDescent="0.2">
      <c r="A138" s="2" t="s">
        <v>9</v>
      </c>
      <c r="B138" s="2" t="s">
        <v>51</v>
      </c>
      <c r="C138" s="2" t="s">
        <v>53</v>
      </c>
      <c r="D138" s="3">
        <v>480</v>
      </c>
      <c r="E138" s="3">
        <v>41</v>
      </c>
      <c r="F138" s="2" t="s">
        <v>29</v>
      </c>
      <c r="G138" s="3">
        <v>2.3657142857142852E-2</v>
      </c>
      <c r="H138" s="3">
        <v>3.5978489889013927E-2</v>
      </c>
      <c r="I138" s="3">
        <v>30</v>
      </c>
      <c r="J138" s="3">
        <v>1.1841108130342535E-2</v>
      </c>
      <c r="K138" s="3">
        <v>29.366666666666667</v>
      </c>
      <c r="L138" s="3">
        <v>29.194158472010951</v>
      </c>
      <c r="M138" s="3">
        <v>30</v>
      </c>
      <c r="N138" s="3">
        <v>7.187487833609299E-2</v>
      </c>
      <c r="O138" s="3">
        <v>1.0485469999999999</v>
      </c>
      <c r="P138" s="3">
        <v>2.2056422190337602E-3</v>
      </c>
      <c r="Q138" s="3">
        <f t="shared" si="4"/>
        <v>30792.33023333333</v>
      </c>
      <c r="R138" s="3">
        <f t="shared" si="5"/>
        <v>30611.447283351663</v>
      </c>
      <c r="S138" s="2" t="s">
        <v>49</v>
      </c>
      <c r="T138" s="2" t="s">
        <v>45</v>
      </c>
    </row>
    <row r="139" spans="1:20" x14ac:dyDescent="0.2">
      <c r="A139" s="2" t="s">
        <v>10</v>
      </c>
      <c r="B139" s="2" t="s">
        <v>45</v>
      </c>
      <c r="C139" s="2" t="s">
        <v>54</v>
      </c>
      <c r="D139" s="3">
        <v>480</v>
      </c>
      <c r="E139" s="3">
        <v>41</v>
      </c>
      <c r="F139" s="2" t="s">
        <v>29</v>
      </c>
      <c r="G139" s="3">
        <v>2.7426315789473684E-2</v>
      </c>
      <c r="H139" s="3">
        <v>2.2051920601527351E-2</v>
      </c>
      <c r="I139" s="3">
        <v>30</v>
      </c>
      <c r="J139" s="3">
        <v>1.1841108130342535E-2</v>
      </c>
      <c r="K139" s="3">
        <v>67.466666666666669</v>
      </c>
      <c r="L139" s="3">
        <v>28.713218016949771</v>
      </c>
      <c r="M139" s="3">
        <v>30</v>
      </c>
      <c r="N139" s="3">
        <v>7.187487833609299E-2</v>
      </c>
      <c r="O139" s="3">
        <v>0.92531249999999998</v>
      </c>
      <c r="P139" s="3">
        <v>2.0060795716282998E-3</v>
      </c>
      <c r="Q139" s="3">
        <f t="shared" si="4"/>
        <v>62427.75</v>
      </c>
      <c r="R139" s="3">
        <f t="shared" si="5"/>
        <v>26568.699546308831</v>
      </c>
      <c r="S139" s="2" t="s">
        <v>49</v>
      </c>
      <c r="T139" s="2" t="s">
        <v>45</v>
      </c>
    </row>
    <row r="140" spans="1:20" x14ac:dyDescent="0.2">
      <c r="A140" s="2" t="s">
        <v>11</v>
      </c>
      <c r="B140" s="2" t="s">
        <v>45</v>
      </c>
      <c r="C140" s="2" t="s">
        <v>53</v>
      </c>
      <c r="D140" s="3">
        <v>480</v>
      </c>
      <c r="E140" s="3">
        <v>41</v>
      </c>
      <c r="F140" s="2" t="s">
        <v>29</v>
      </c>
      <c r="G140" s="3">
        <v>6.176333333333333E-2</v>
      </c>
      <c r="H140" s="3">
        <v>4.8953457374213E-2</v>
      </c>
      <c r="I140" s="3">
        <v>30</v>
      </c>
      <c r="J140" s="3">
        <v>1.1841108130342535E-2</v>
      </c>
      <c r="K140" s="3">
        <v>74.400000000000006</v>
      </c>
      <c r="L140" s="3">
        <v>25.548124523468775</v>
      </c>
      <c r="M140" s="3">
        <v>30</v>
      </c>
      <c r="N140" s="3">
        <v>7.187487833609299E-2</v>
      </c>
      <c r="O140" s="3">
        <v>1.031344</v>
      </c>
      <c r="P140" s="3">
        <v>2.2281098188618501E-3</v>
      </c>
      <c r="Q140" s="3">
        <f t="shared" si="4"/>
        <v>76731.993600000002</v>
      </c>
      <c r="R140" s="3">
        <f t="shared" si="5"/>
        <v>26348.904938532381</v>
      </c>
      <c r="S140" s="2" t="s">
        <v>49</v>
      </c>
      <c r="T140" s="2" t="s">
        <v>45</v>
      </c>
    </row>
    <row r="141" spans="1:20" x14ac:dyDescent="0.2">
      <c r="A141" s="2" t="s">
        <v>12</v>
      </c>
      <c r="B141" s="2" t="s">
        <v>51</v>
      </c>
      <c r="C141" s="2" t="s">
        <v>54</v>
      </c>
      <c r="D141" s="3">
        <v>416</v>
      </c>
      <c r="E141" s="3">
        <v>41</v>
      </c>
      <c r="F141" s="2" t="s">
        <v>29</v>
      </c>
      <c r="G141" s="3">
        <v>2.9916666666666668E-2</v>
      </c>
      <c r="H141" s="3">
        <v>1.3464894685399098E-2</v>
      </c>
      <c r="I141" s="3">
        <v>30</v>
      </c>
      <c r="J141" s="3">
        <v>1.1841108130342535E-2</v>
      </c>
      <c r="K141" s="3">
        <v>95.86666666666666</v>
      </c>
      <c r="L141" s="3">
        <v>15.719909527588111</v>
      </c>
      <c r="M141" s="3">
        <v>30</v>
      </c>
      <c r="N141" s="3">
        <v>7.187487833609299E-2</v>
      </c>
      <c r="O141" s="3">
        <v>1.0404690000000001</v>
      </c>
      <c r="P141" s="3">
        <v>2.0630327322422501E-3</v>
      </c>
      <c r="Q141" s="3">
        <f t="shared" si="4"/>
        <v>99746.294800000003</v>
      </c>
      <c r="R141" s="3">
        <f t="shared" si="5"/>
        <v>16356.078546260076</v>
      </c>
      <c r="S141" s="2" t="s">
        <v>49</v>
      </c>
      <c r="T141" s="2" t="s">
        <v>46</v>
      </c>
    </row>
    <row r="142" spans="1:20" x14ac:dyDescent="0.2">
      <c r="A142" s="2" t="s">
        <v>13</v>
      </c>
      <c r="B142" s="2" t="s">
        <v>45</v>
      </c>
      <c r="C142" s="2" t="s">
        <v>54</v>
      </c>
      <c r="D142" s="3">
        <v>416</v>
      </c>
      <c r="E142" s="3">
        <v>41</v>
      </c>
      <c r="F142" s="2" t="s">
        <v>29</v>
      </c>
      <c r="G142" s="3">
        <v>3.4390000000000004E-2</v>
      </c>
      <c r="H142" s="3">
        <v>1.7294591640163118E-2</v>
      </c>
      <c r="I142" s="3">
        <v>30</v>
      </c>
      <c r="J142" s="3">
        <v>1.1841108130342535E-2</v>
      </c>
      <c r="K142" s="3">
        <v>123.56666666666666</v>
      </c>
      <c r="L142" s="3">
        <v>15.129845413031232</v>
      </c>
      <c r="M142" s="3">
        <v>30</v>
      </c>
      <c r="N142" s="3">
        <v>7.187487833609299E-2</v>
      </c>
      <c r="O142" s="3">
        <v>1.0787340000000001</v>
      </c>
      <c r="P142" s="3">
        <v>2.1212120816340501E-3</v>
      </c>
      <c r="Q142" s="3">
        <f t="shared" si="4"/>
        <v>133295.56460000001</v>
      </c>
      <c r="R142" s="3">
        <f t="shared" si="5"/>
        <v>16321.078661780833</v>
      </c>
      <c r="S142" s="2" t="s">
        <v>49</v>
      </c>
      <c r="T142" s="2" t="s">
        <v>46</v>
      </c>
    </row>
    <row r="143" spans="1:20" x14ac:dyDescent="0.2">
      <c r="A143" s="2" t="s">
        <v>14</v>
      </c>
      <c r="B143" s="2" t="s">
        <v>45</v>
      </c>
      <c r="C143" s="2" t="s">
        <v>53</v>
      </c>
      <c r="D143" s="3">
        <v>416</v>
      </c>
      <c r="E143" s="3">
        <v>41</v>
      </c>
      <c r="F143" s="2" t="s">
        <v>29</v>
      </c>
      <c r="G143" s="3">
        <v>0.14246333333333333</v>
      </c>
      <c r="H143" s="3">
        <v>3.6379687403213838E-2</v>
      </c>
      <c r="I143" s="3">
        <v>30</v>
      </c>
      <c r="J143" s="3">
        <v>1.1841108130342535E-2</v>
      </c>
      <c r="K143" s="3">
        <v>105.83333333333331</v>
      </c>
      <c r="L143" s="3">
        <v>20.27820395290361</v>
      </c>
      <c r="M143" s="3">
        <v>30</v>
      </c>
      <c r="N143" s="3">
        <v>7.187487833609299E-2</v>
      </c>
      <c r="O143" s="3">
        <v>1.112063</v>
      </c>
      <c r="P143" s="3">
        <v>2.2676581864483699E-3</v>
      </c>
      <c r="Q143" s="3">
        <f t="shared" si="4"/>
        <v>117693.33416666665</v>
      </c>
      <c r="R143" s="3">
        <f t="shared" si="5"/>
        <v>22550.640322477844</v>
      </c>
      <c r="S143" s="2" t="s">
        <v>49</v>
      </c>
      <c r="T143" s="2" t="s">
        <v>46</v>
      </c>
    </row>
    <row r="144" spans="1:20" x14ac:dyDescent="0.2">
      <c r="A144" s="2" t="s">
        <v>15</v>
      </c>
      <c r="B144" s="2" t="s">
        <v>51</v>
      </c>
      <c r="C144" s="2" t="s">
        <v>53</v>
      </c>
      <c r="D144" s="3">
        <v>432</v>
      </c>
      <c r="E144" s="3">
        <v>41</v>
      </c>
      <c r="F144" s="2" t="s">
        <v>29</v>
      </c>
      <c r="G144" s="3">
        <v>6.5879999999999994E-2</v>
      </c>
      <c r="H144" s="3">
        <v>5.5315316745605518E-2</v>
      </c>
      <c r="I144" s="3">
        <v>30</v>
      </c>
      <c r="J144" s="3">
        <v>1.1841108130342535E-2</v>
      </c>
      <c r="K144" s="3">
        <v>80</v>
      </c>
      <c r="L144" s="3">
        <v>20.192407814159591</v>
      </c>
      <c r="M144" s="3">
        <v>30</v>
      </c>
      <c r="N144" s="3">
        <v>7.187487833609299E-2</v>
      </c>
      <c r="O144" s="3">
        <v>1.3009059999999999</v>
      </c>
      <c r="P144" s="3">
        <v>2.61992971639748E-3</v>
      </c>
      <c r="Q144" s="3">
        <f t="shared" si="4"/>
        <v>104072.48</v>
      </c>
      <c r="R144" s="3">
        <f t="shared" si="5"/>
        <v>26268.424479887093</v>
      </c>
      <c r="S144" s="2" t="s">
        <v>49</v>
      </c>
      <c r="T144" s="2" t="s">
        <v>45</v>
      </c>
    </row>
    <row r="145" spans="1:20" x14ac:dyDescent="0.2">
      <c r="A145" s="2" t="s">
        <v>16</v>
      </c>
      <c r="B145" s="2" t="s">
        <v>45</v>
      </c>
      <c r="C145" s="2" t="s">
        <v>53</v>
      </c>
      <c r="D145" s="3">
        <v>432</v>
      </c>
      <c r="E145" s="3">
        <v>41</v>
      </c>
      <c r="F145" s="2" t="s">
        <v>29</v>
      </c>
      <c r="G145" s="3">
        <v>0.12262000000000001</v>
      </c>
      <c r="H145" s="3">
        <v>5.6950191102986367E-2</v>
      </c>
      <c r="I145" s="3">
        <v>30</v>
      </c>
      <c r="J145" s="3">
        <v>1.1841108130342535E-2</v>
      </c>
      <c r="K145" s="3">
        <v>94.8</v>
      </c>
      <c r="L145" s="3">
        <v>22.949800289617627</v>
      </c>
      <c r="M145" s="3">
        <v>30</v>
      </c>
      <c r="N145" s="3">
        <v>7.187487833609299E-2</v>
      </c>
      <c r="O145" s="3">
        <v>0.9915157</v>
      </c>
      <c r="P145" s="3">
        <v>2.11110291549389E-3</v>
      </c>
      <c r="Q145" s="3">
        <f t="shared" si="4"/>
        <v>93995.68836</v>
      </c>
      <c r="R145" s="3">
        <f t="shared" si="5"/>
        <v>22755.087299020423</v>
      </c>
      <c r="S145" s="2" t="s">
        <v>49</v>
      </c>
      <c r="T145" s="2" t="s">
        <v>45</v>
      </c>
    </row>
    <row r="146" spans="1:20" x14ac:dyDescent="0.2">
      <c r="A146" s="2" t="s">
        <v>1</v>
      </c>
      <c r="B146" s="2" t="s">
        <v>51</v>
      </c>
      <c r="C146" s="2" t="s">
        <v>53</v>
      </c>
      <c r="D146" s="3">
        <v>443</v>
      </c>
      <c r="E146" s="3">
        <v>45</v>
      </c>
      <c r="F146" s="2" t="s">
        <v>32</v>
      </c>
      <c r="G146" s="3">
        <v>5.1526666666666672E-2</v>
      </c>
      <c r="H146" s="3">
        <v>4.3533098008552318E-2</v>
      </c>
      <c r="I146" s="3">
        <v>30</v>
      </c>
      <c r="J146" s="3">
        <v>2.4549404605355145E-2</v>
      </c>
      <c r="K146" s="3">
        <v>53.533333333333331</v>
      </c>
      <c r="L146" s="3">
        <v>22.726978583955141</v>
      </c>
      <c r="M146" s="3">
        <v>30</v>
      </c>
      <c r="N146" s="3">
        <v>0.59514354909601641</v>
      </c>
      <c r="O146" s="3">
        <v>1.411063</v>
      </c>
      <c r="P146" s="3">
        <v>2.9057250395712699E-3</v>
      </c>
      <c r="Q146" s="3">
        <f t="shared" si="4"/>
        <v>75538.905933333328</v>
      </c>
      <c r="R146" s="3">
        <f t="shared" si="5"/>
        <v>32069.19858161149</v>
      </c>
      <c r="S146" s="2" t="s">
        <v>49</v>
      </c>
      <c r="T146" s="2" t="s">
        <v>45</v>
      </c>
    </row>
    <row r="147" spans="1:20" x14ac:dyDescent="0.2">
      <c r="A147" s="2" t="s">
        <v>2</v>
      </c>
      <c r="B147" s="2" t="s">
        <v>51</v>
      </c>
      <c r="C147" s="2" t="s">
        <v>54</v>
      </c>
      <c r="D147" s="3">
        <v>459</v>
      </c>
      <c r="E147" s="3">
        <v>45</v>
      </c>
      <c r="F147" s="2" t="s">
        <v>32</v>
      </c>
      <c r="G147" s="3">
        <v>4.4820000000000013E-2</v>
      </c>
      <c r="H147" s="3">
        <v>2.6718687592519712E-2</v>
      </c>
      <c r="I147" s="3">
        <v>30</v>
      </c>
      <c r="J147" s="3">
        <v>2.4549404605355145E-2</v>
      </c>
      <c r="K147" s="3">
        <v>112.3</v>
      </c>
      <c r="L147" s="3">
        <v>26.784510449138324</v>
      </c>
      <c r="M147" s="3">
        <v>30</v>
      </c>
      <c r="N147" s="3">
        <v>0.59514354909601641</v>
      </c>
      <c r="O147" s="3">
        <v>1.2807660000000001</v>
      </c>
      <c r="P147" s="3">
        <v>2.6982067685217101E-3</v>
      </c>
      <c r="Q147" s="3">
        <f t="shared" si="4"/>
        <v>143830.02180000002</v>
      </c>
      <c r="R147" s="3">
        <f t="shared" si="5"/>
        <v>34304.690309901096</v>
      </c>
      <c r="S147" s="2" t="s">
        <v>49</v>
      </c>
      <c r="T147" s="2" t="s">
        <v>45</v>
      </c>
    </row>
    <row r="148" spans="1:20" x14ac:dyDescent="0.2">
      <c r="A148" s="2" t="s">
        <v>3</v>
      </c>
      <c r="B148" s="2" t="s">
        <v>45</v>
      </c>
      <c r="C148" s="2" t="s">
        <v>54</v>
      </c>
      <c r="D148" s="3">
        <v>440</v>
      </c>
      <c r="E148" s="3">
        <v>45</v>
      </c>
      <c r="F148" s="2" t="s">
        <v>32</v>
      </c>
      <c r="G148" s="3">
        <v>3.4963333333333332E-2</v>
      </c>
      <c r="H148" s="3">
        <v>2.1834597673315522E-2</v>
      </c>
      <c r="I148" s="3">
        <v>30</v>
      </c>
      <c r="J148" s="3">
        <v>2.4549404605355145E-2</v>
      </c>
      <c r="K148" s="3">
        <v>102.03333333333332</v>
      </c>
      <c r="L148" s="3">
        <v>16.438741503601246</v>
      </c>
      <c r="M148" s="3">
        <v>30</v>
      </c>
      <c r="N148" s="3">
        <v>0.59514354909601641</v>
      </c>
      <c r="O148" s="3">
        <v>1.27325</v>
      </c>
      <c r="P148" s="3">
        <v>2.6417673215326201E-3</v>
      </c>
      <c r="Q148" s="3">
        <f t="shared" si="4"/>
        <v>129913.94166666664</v>
      </c>
      <c r="R148" s="3">
        <f t="shared" si="5"/>
        <v>20930.627619460287</v>
      </c>
      <c r="S148" s="2" t="s">
        <v>49</v>
      </c>
      <c r="T148" s="2" t="s">
        <v>45</v>
      </c>
    </row>
    <row r="149" spans="1:20" x14ac:dyDescent="0.2">
      <c r="A149" s="2" t="s">
        <v>4</v>
      </c>
      <c r="B149" s="2" t="s">
        <v>45</v>
      </c>
      <c r="C149" s="2" t="s">
        <v>53</v>
      </c>
      <c r="D149" s="3">
        <v>440</v>
      </c>
      <c r="E149" s="3">
        <v>45</v>
      </c>
      <c r="F149" s="2" t="s">
        <v>32</v>
      </c>
      <c r="G149" s="3">
        <v>4.6940000000000003E-2</v>
      </c>
      <c r="H149" s="3">
        <v>2.2728375803533932E-2</v>
      </c>
      <c r="I149" s="3">
        <v>30</v>
      </c>
      <c r="J149" s="3">
        <v>2.4549404605355145E-2</v>
      </c>
      <c r="K149" s="3">
        <v>78.066666666666663</v>
      </c>
      <c r="L149" s="3">
        <v>19.571975429736831</v>
      </c>
      <c r="M149" s="3">
        <v>30</v>
      </c>
      <c r="N149" s="3">
        <v>0.59514354909601641</v>
      </c>
      <c r="O149" s="3">
        <v>1.2991090000000001</v>
      </c>
      <c r="P149" s="3">
        <v>2.7467708630582299E-3</v>
      </c>
      <c r="Q149" s="3">
        <f t="shared" si="4"/>
        <v>101417.10926666667</v>
      </c>
      <c r="R149" s="3">
        <f t="shared" si="5"/>
        <v>25426.129428549986</v>
      </c>
      <c r="S149" s="2" t="s">
        <v>49</v>
      </c>
      <c r="T149" s="2" t="s">
        <v>45</v>
      </c>
    </row>
    <row r="150" spans="1:20" x14ac:dyDescent="0.2">
      <c r="A150" s="2" t="s">
        <v>5</v>
      </c>
      <c r="B150" s="2" t="s">
        <v>51</v>
      </c>
      <c r="C150" s="2" t="s">
        <v>53</v>
      </c>
      <c r="D150" s="3">
        <v>459</v>
      </c>
      <c r="E150" s="3">
        <v>45</v>
      </c>
      <c r="F150" s="2" t="s">
        <v>32</v>
      </c>
      <c r="G150" s="3">
        <v>3.2621428571428572E-2</v>
      </c>
      <c r="H150" s="3">
        <v>2.4989488606538681E-2</v>
      </c>
      <c r="I150" s="3">
        <v>30</v>
      </c>
      <c r="J150" s="3">
        <v>2.4549404605355145E-2</v>
      </c>
      <c r="K150" s="3">
        <v>44.333333333333336</v>
      </c>
      <c r="L150" s="3">
        <v>15.636140472920063</v>
      </c>
      <c r="M150" s="3">
        <v>30</v>
      </c>
      <c r="N150" s="3">
        <v>0.59514354909601641</v>
      </c>
      <c r="O150" s="3">
        <v>1.3989689999999999</v>
      </c>
      <c r="P150" s="3">
        <v>2.8986505229324998E-3</v>
      </c>
      <c r="Q150" s="3">
        <f t="shared" si="4"/>
        <v>62020.959000000003</v>
      </c>
      <c r="R150" s="3">
        <f t="shared" si="5"/>
        <v>21874.475801260509</v>
      </c>
      <c r="S150" s="2" t="s">
        <v>49</v>
      </c>
      <c r="T150" s="2" t="s">
        <v>45</v>
      </c>
    </row>
    <row r="151" spans="1:20" x14ac:dyDescent="0.2">
      <c r="A151" s="2" t="s">
        <v>6</v>
      </c>
      <c r="B151" s="2" t="s">
        <v>45</v>
      </c>
      <c r="C151" s="2" t="s">
        <v>54</v>
      </c>
      <c r="D151" s="3">
        <v>446</v>
      </c>
      <c r="E151" s="3">
        <v>45</v>
      </c>
      <c r="F151" s="2" t="s">
        <v>32</v>
      </c>
      <c r="G151" s="3">
        <v>2.5530000000000001E-2</v>
      </c>
      <c r="H151" s="3">
        <v>2.5950608856055768E-2</v>
      </c>
      <c r="I151" s="3">
        <v>30</v>
      </c>
      <c r="J151" s="3">
        <v>2.4549404605355145E-2</v>
      </c>
      <c r="K151" s="3">
        <v>64.63333333333334</v>
      </c>
      <c r="L151" s="3">
        <v>27.192503051801289</v>
      </c>
      <c r="M151" s="3">
        <v>30</v>
      </c>
      <c r="N151" s="3">
        <v>0.59514354909601641</v>
      </c>
      <c r="O151" s="3">
        <v>1.248828</v>
      </c>
      <c r="P151" s="3">
        <v>2.6143695779292301E-3</v>
      </c>
      <c r="Q151" s="3">
        <f t="shared" si="4"/>
        <v>80715.916400000016</v>
      </c>
      <c r="R151" s="3">
        <f t="shared" si="5"/>
        <v>33958.7592011749</v>
      </c>
      <c r="S151" s="2" t="s">
        <v>49</v>
      </c>
      <c r="T151" s="2" t="s">
        <v>45</v>
      </c>
    </row>
    <row r="152" spans="1:20" x14ac:dyDescent="0.2">
      <c r="A152" s="2" t="s">
        <v>7</v>
      </c>
      <c r="B152" s="2" t="s">
        <v>51</v>
      </c>
      <c r="C152" s="2" t="s">
        <v>53</v>
      </c>
      <c r="D152" s="3">
        <v>416</v>
      </c>
      <c r="E152" s="3">
        <v>45</v>
      </c>
      <c r="F152" s="2" t="s">
        <v>32</v>
      </c>
      <c r="G152" s="3">
        <v>0.12136333333333336</v>
      </c>
      <c r="H152" s="3">
        <v>4.0660230228347478E-2</v>
      </c>
      <c r="I152" s="3">
        <v>30</v>
      </c>
      <c r="J152" s="3">
        <v>2.4549404605355145E-2</v>
      </c>
      <c r="K152" s="3">
        <v>87.2</v>
      </c>
      <c r="L152" s="3">
        <v>23.509430731800659</v>
      </c>
      <c r="M152" s="3">
        <v>30</v>
      </c>
      <c r="N152" s="3">
        <v>0.59514354909601641</v>
      </c>
      <c r="O152" s="3">
        <v>1.444766</v>
      </c>
      <c r="P152" s="3">
        <v>2.9342855065234001E-3</v>
      </c>
      <c r="Q152" s="3">
        <f t="shared" si="4"/>
        <v>125983.5952</v>
      </c>
      <c r="R152" s="3">
        <f t="shared" si="5"/>
        <v>33965.626200660707</v>
      </c>
      <c r="S152" s="2" t="s">
        <v>49</v>
      </c>
      <c r="T152" s="2" t="s">
        <v>46</v>
      </c>
    </row>
    <row r="153" spans="1:20" x14ac:dyDescent="0.2">
      <c r="A153" s="2" t="s">
        <v>8</v>
      </c>
      <c r="B153" s="2" t="s">
        <v>45</v>
      </c>
      <c r="C153" s="2" t="s">
        <v>54</v>
      </c>
      <c r="D153" s="3">
        <v>494</v>
      </c>
      <c r="E153" s="3">
        <v>45</v>
      </c>
      <c r="F153" s="2" t="s">
        <v>32</v>
      </c>
      <c r="G153" s="3">
        <v>3.5126666666666667E-2</v>
      </c>
      <c r="H153" s="3">
        <v>3.5948119406846432E-2</v>
      </c>
      <c r="I153" s="3">
        <v>30</v>
      </c>
      <c r="J153" s="3">
        <v>2.4549404605355145E-2</v>
      </c>
      <c r="K153" s="3">
        <v>66</v>
      </c>
      <c r="L153" s="3">
        <v>17.462340431148778</v>
      </c>
      <c r="M153" s="3">
        <v>30</v>
      </c>
      <c r="N153" s="3">
        <v>0.59514354909601641</v>
      </c>
      <c r="O153" s="3">
        <v>1.3165</v>
      </c>
      <c r="P153" s="3">
        <v>2.7267433145100402E-3</v>
      </c>
      <c r="Q153" s="3">
        <f t="shared" si="4"/>
        <v>86889</v>
      </c>
      <c r="R153" s="3">
        <f t="shared" si="5"/>
        <v>22989.171177607368</v>
      </c>
      <c r="S153" s="2" t="s">
        <v>49</v>
      </c>
      <c r="T153" s="2" t="s">
        <v>45</v>
      </c>
    </row>
    <row r="154" spans="1:20" x14ac:dyDescent="0.2">
      <c r="A154" s="2" t="s">
        <v>9</v>
      </c>
      <c r="B154" s="2" t="s">
        <v>51</v>
      </c>
      <c r="C154" s="2" t="s">
        <v>53</v>
      </c>
      <c r="D154" s="3">
        <v>480</v>
      </c>
      <c r="E154" s="3">
        <v>45</v>
      </c>
      <c r="F154" s="2" t="s">
        <v>32</v>
      </c>
      <c r="G154" s="3">
        <v>3.6290000000000003E-2</v>
      </c>
      <c r="H154" s="3">
        <v>2.6573286711783824E-2</v>
      </c>
      <c r="I154" s="3">
        <v>30</v>
      </c>
      <c r="J154" s="3">
        <v>2.4549404605355145E-2</v>
      </c>
      <c r="K154" s="3">
        <v>46.1</v>
      </c>
      <c r="L154" s="3">
        <v>25.293411526851543</v>
      </c>
      <c r="M154" s="3">
        <v>30</v>
      </c>
      <c r="N154" s="3">
        <v>0.59514354909601641</v>
      </c>
      <c r="O154" s="3">
        <v>1.395734</v>
      </c>
      <c r="P154" s="3">
        <v>2.93595788928952E-3</v>
      </c>
      <c r="Q154" s="3">
        <f t="shared" si="4"/>
        <v>64343.337400000004</v>
      </c>
      <c r="R154" s="3">
        <f t="shared" si="5"/>
        <v>35302.874444018613</v>
      </c>
      <c r="S154" s="2" t="s">
        <v>49</v>
      </c>
      <c r="T154" s="2" t="s">
        <v>45</v>
      </c>
    </row>
    <row r="155" spans="1:20" x14ac:dyDescent="0.2">
      <c r="A155" s="2" t="s">
        <v>10</v>
      </c>
      <c r="B155" s="2" t="s">
        <v>45</v>
      </c>
      <c r="C155" s="2" t="s">
        <v>54</v>
      </c>
      <c r="D155" s="3">
        <v>480</v>
      </c>
      <c r="E155" s="3">
        <v>45</v>
      </c>
      <c r="F155" s="2" t="s">
        <v>32</v>
      </c>
      <c r="G155" s="3">
        <v>2.2792307692307692E-2</v>
      </c>
      <c r="H155" s="3">
        <v>2.3118140114785701E-2</v>
      </c>
      <c r="I155" s="3">
        <v>30</v>
      </c>
      <c r="J155" s="3">
        <v>2.4549404605355145E-2</v>
      </c>
      <c r="K155" s="3">
        <v>70.033333333333331</v>
      </c>
      <c r="L155" s="3">
        <v>32.917556949985759</v>
      </c>
      <c r="M155" s="3">
        <v>30</v>
      </c>
      <c r="N155" s="3">
        <v>0.59514354909601641</v>
      </c>
      <c r="O155" s="3">
        <v>1.2937339999999999</v>
      </c>
      <c r="P155" s="3">
        <v>2.80481820846576E-3</v>
      </c>
      <c r="Q155" s="3">
        <f t="shared" si="4"/>
        <v>90604.504466666651</v>
      </c>
      <c r="R155" s="3">
        <f t="shared" si="5"/>
        <v>42586.562623132872</v>
      </c>
      <c r="S155" s="2" t="s">
        <v>49</v>
      </c>
      <c r="T155" s="2" t="s">
        <v>45</v>
      </c>
    </row>
    <row r="156" spans="1:20" x14ac:dyDescent="0.2">
      <c r="A156" s="2" t="s">
        <v>11</v>
      </c>
      <c r="B156" s="2" t="s">
        <v>45</v>
      </c>
      <c r="C156" s="2" t="s">
        <v>53</v>
      </c>
      <c r="D156" s="3">
        <v>480</v>
      </c>
      <c r="E156" s="3">
        <v>45</v>
      </c>
      <c r="F156" s="2" t="s">
        <v>32</v>
      </c>
      <c r="G156" s="3">
        <v>6.0320000000000006E-2</v>
      </c>
      <c r="H156" s="3">
        <v>4.273057765425909E-2</v>
      </c>
      <c r="I156" s="3">
        <v>30</v>
      </c>
      <c r="J156" s="3">
        <v>2.4549404605355145E-2</v>
      </c>
      <c r="K156" s="3">
        <v>80.833333333333329</v>
      </c>
      <c r="L156" s="3">
        <v>16.874207800335068</v>
      </c>
      <c r="M156" s="3">
        <v>30</v>
      </c>
      <c r="N156" s="3">
        <v>0.59514354909601641</v>
      </c>
      <c r="O156" s="3">
        <v>1.353828</v>
      </c>
      <c r="P156" s="3">
        <v>2.92480245180086E-3</v>
      </c>
      <c r="Q156" s="3">
        <f t="shared" si="4"/>
        <v>109434.43</v>
      </c>
      <c r="R156" s="3">
        <f t="shared" si="5"/>
        <v>22844.774997912027</v>
      </c>
      <c r="S156" s="2" t="s">
        <v>49</v>
      </c>
      <c r="T156" s="2" t="s">
        <v>45</v>
      </c>
    </row>
    <row r="157" spans="1:20" x14ac:dyDescent="0.2">
      <c r="A157" s="2" t="s">
        <v>12</v>
      </c>
      <c r="B157" s="2" t="s">
        <v>51</v>
      </c>
      <c r="C157" s="2" t="s">
        <v>54</v>
      </c>
      <c r="D157" s="3">
        <v>416</v>
      </c>
      <c r="E157" s="3">
        <v>45</v>
      </c>
      <c r="F157" s="2" t="s">
        <v>32</v>
      </c>
      <c r="G157" s="3">
        <v>4.4880000000000003E-2</v>
      </c>
      <c r="H157" s="3">
        <v>2.4446736660203406E-2</v>
      </c>
      <c r="I157" s="3">
        <v>30</v>
      </c>
      <c r="J157" s="3">
        <v>2.4549404605355145E-2</v>
      </c>
      <c r="K157" s="3">
        <v>93.13333333333334</v>
      </c>
      <c r="L157" s="3">
        <v>17.026906811149097</v>
      </c>
      <c r="M157" s="3">
        <v>30</v>
      </c>
      <c r="N157" s="3">
        <v>0.59514354909601641</v>
      </c>
      <c r="O157" s="3">
        <v>1.4262969999999999</v>
      </c>
      <c r="P157" s="3">
        <v>2.8280490787317299E-3</v>
      </c>
      <c r="Q157" s="3">
        <f t="shared" si="4"/>
        <v>132835.79393333333</v>
      </c>
      <c r="R157" s="3">
        <f t="shared" si="5"/>
        <v>24285.426104021521</v>
      </c>
      <c r="S157" s="2" t="s">
        <v>49</v>
      </c>
      <c r="T157" s="2" t="s">
        <v>46</v>
      </c>
    </row>
    <row r="158" spans="1:20" x14ac:dyDescent="0.2">
      <c r="A158" s="2" t="s">
        <v>13</v>
      </c>
      <c r="B158" s="2" t="s">
        <v>45</v>
      </c>
      <c r="C158" s="2" t="s">
        <v>54</v>
      </c>
      <c r="D158" s="3">
        <v>416</v>
      </c>
      <c r="E158" s="3">
        <v>45</v>
      </c>
      <c r="F158" s="2" t="s">
        <v>32</v>
      </c>
      <c r="G158" s="3">
        <v>3.805E-2</v>
      </c>
      <c r="H158" s="3">
        <v>1.7222499818551312E-2</v>
      </c>
      <c r="I158" s="3">
        <v>30</v>
      </c>
      <c r="J158" s="3">
        <v>2.4549404605355145E-2</v>
      </c>
      <c r="K158" s="3">
        <v>96</v>
      </c>
      <c r="L158" s="3">
        <v>12.222929272478018</v>
      </c>
      <c r="M158" s="3">
        <v>30</v>
      </c>
      <c r="N158" s="3">
        <v>0.59514354909601641</v>
      </c>
      <c r="O158" s="3">
        <v>1.4536089999999999</v>
      </c>
      <c r="P158" s="3">
        <v>2.85836264804112E-3</v>
      </c>
      <c r="Q158" s="3">
        <f t="shared" si="4"/>
        <v>139546.46400000001</v>
      </c>
      <c r="R158" s="3">
        <f t="shared" si="5"/>
        <v>17767.359996837498</v>
      </c>
      <c r="S158" s="2" t="s">
        <v>49</v>
      </c>
      <c r="T158" s="2" t="s">
        <v>46</v>
      </c>
    </row>
    <row r="159" spans="1:20" x14ac:dyDescent="0.2">
      <c r="A159" s="2" t="s">
        <v>14</v>
      </c>
      <c r="B159" s="2" t="s">
        <v>45</v>
      </c>
      <c r="C159" s="2" t="s">
        <v>53</v>
      </c>
      <c r="D159" s="3">
        <v>416</v>
      </c>
      <c r="E159" s="3">
        <v>45</v>
      </c>
      <c r="F159" s="2" t="s">
        <v>32</v>
      </c>
      <c r="G159" s="3">
        <v>0.13128333333333334</v>
      </c>
      <c r="H159" s="3">
        <v>3.617834604044555E-2</v>
      </c>
      <c r="I159" s="3">
        <v>30</v>
      </c>
      <c r="J159" s="3">
        <v>2.4549404605355145E-2</v>
      </c>
      <c r="K159" s="3">
        <v>111.33333333333331</v>
      </c>
      <c r="L159" s="3">
        <v>22.64263431866727</v>
      </c>
      <c r="M159" s="3">
        <v>30</v>
      </c>
      <c r="N159" s="3">
        <v>0.59514354909601641</v>
      </c>
      <c r="O159" s="3">
        <v>1.4821249999999999</v>
      </c>
      <c r="P159" s="3">
        <v>3.02226842327259E-3</v>
      </c>
      <c r="Q159" s="3">
        <f t="shared" si="4"/>
        <v>165009.91666666663</v>
      </c>
      <c r="R159" s="3">
        <f t="shared" si="5"/>
        <v>33559.214389554727</v>
      </c>
      <c r="S159" s="2" t="s">
        <v>49</v>
      </c>
      <c r="T159" s="2" t="s">
        <v>46</v>
      </c>
    </row>
    <row r="160" spans="1:20" x14ac:dyDescent="0.2">
      <c r="A160" s="2" t="s">
        <v>15</v>
      </c>
      <c r="B160" s="2" t="s">
        <v>51</v>
      </c>
      <c r="C160" s="2" t="s">
        <v>53</v>
      </c>
      <c r="D160" s="3">
        <v>432</v>
      </c>
      <c r="E160" s="3">
        <v>45</v>
      </c>
      <c r="F160" s="2" t="s">
        <v>32</v>
      </c>
      <c r="G160" s="3">
        <v>8.2463333333333319E-2</v>
      </c>
      <c r="H160" s="3">
        <v>5.5525804711763417E-2</v>
      </c>
      <c r="I160" s="3">
        <v>30</v>
      </c>
      <c r="J160" s="3">
        <v>2.4549404605355145E-2</v>
      </c>
      <c r="K160" s="3">
        <v>113.53333333333332</v>
      </c>
      <c r="L160" s="3">
        <v>16.67879558667898</v>
      </c>
      <c r="M160" s="3">
        <v>30</v>
      </c>
      <c r="N160" s="3">
        <v>0.59514354909601641</v>
      </c>
      <c r="O160" s="3">
        <v>1.601656</v>
      </c>
      <c r="P160" s="3">
        <v>3.2256182613089098E-3</v>
      </c>
      <c r="Q160" s="3">
        <f t="shared" si="4"/>
        <v>181841.34453333329</v>
      </c>
      <c r="R160" s="3">
        <f t="shared" si="5"/>
        <v>26713.693024177912</v>
      </c>
      <c r="S160" s="2" t="s">
        <v>49</v>
      </c>
      <c r="T160" s="2" t="s">
        <v>45</v>
      </c>
    </row>
    <row r="161" spans="1:20" x14ac:dyDescent="0.2">
      <c r="A161" s="2" t="s">
        <v>16</v>
      </c>
      <c r="B161" s="2" t="s">
        <v>45</v>
      </c>
      <c r="C161" s="2" t="s">
        <v>53</v>
      </c>
      <c r="D161" s="3">
        <v>432</v>
      </c>
      <c r="E161" s="3">
        <v>45</v>
      </c>
      <c r="F161" s="2" t="s">
        <v>32</v>
      </c>
      <c r="G161" s="3">
        <v>6.6613333333333344E-2</v>
      </c>
      <c r="H161" s="3">
        <v>5.9411209567069273E-2</v>
      </c>
      <c r="I161" s="3">
        <v>30</v>
      </c>
      <c r="J161" s="3">
        <v>2.4549404605355145E-2</v>
      </c>
      <c r="K161" s="3">
        <v>102.8</v>
      </c>
      <c r="L161" s="3">
        <v>16.866930169219689</v>
      </c>
      <c r="M161" s="3">
        <v>30</v>
      </c>
      <c r="N161" s="3">
        <v>0.59514354909601641</v>
      </c>
      <c r="O161" s="3">
        <v>1.2974380000000001</v>
      </c>
      <c r="P161" s="3">
        <v>2.7624627068160001E-3</v>
      </c>
      <c r="Q161" s="3">
        <f t="shared" si="4"/>
        <v>133376.62640000001</v>
      </c>
      <c r="R161" s="3">
        <f t="shared" si="5"/>
        <v>21883.796144892058</v>
      </c>
      <c r="S161" s="2" t="s">
        <v>49</v>
      </c>
      <c r="T161" s="2" t="s">
        <v>45</v>
      </c>
    </row>
    <row r="162" spans="1:20" x14ac:dyDescent="0.2">
      <c r="A162" s="2" t="s">
        <v>1</v>
      </c>
      <c r="B162" s="2" t="s">
        <v>51</v>
      </c>
      <c r="C162" s="2" t="s">
        <v>53</v>
      </c>
      <c r="D162" s="3">
        <v>443</v>
      </c>
      <c r="E162" s="3">
        <v>48</v>
      </c>
      <c r="F162" s="2" t="s">
        <v>33</v>
      </c>
      <c r="G162" s="3">
        <v>6.051666666666667E-2</v>
      </c>
      <c r="H162" s="3">
        <v>2.8634444099526167E-2</v>
      </c>
      <c r="I162" s="3">
        <v>30</v>
      </c>
      <c r="J162" s="3">
        <v>1.3231231879151805E-4</v>
      </c>
      <c r="K162" s="3">
        <v>88.733333333333334</v>
      </c>
      <c r="L162" s="3">
        <v>16.459917645264476</v>
      </c>
      <c r="M162" s="3">
        <v>30</v>
      </c>
      <c r="N162" s="3">
        <v>0.34645550307952566</v>
      </c>
      <c r="O162" s="3">
        <v>2.043625</v>
      </c>
      <c r="P162" s="3">
        <v>4.20832544967436E-3</v>
      </c>
      <c r="Q162" s="3">
        <f t="shared" si="4"/>
        <v>181337.65833333333</v>
      </c>
      <c r="R162" s="3">
        <f t="shared" si="5"/>
        <v>33637.899197803614</v>
      </c>
      <c r="S162" s="2" t="s">
        <v>49</v>
      </c>
      <c r="T162" s="2" t="s">
        <v>45</v>
      </c>
    </row>
    <row r="163" spans="1:20" x14ac:dyDescent="0.2">
      <c r="A163" s="2" t="s">
        <v>2</v>
      </c>
      <c r="B163" s="2" t="s">
        <v>51</v>
      </c>
      <c r="C163" s="2" t="s">
        <v>54</v>
      </c>
      <c r="D163" s="3">
        <v>459</v>
      </c>
      <c r="E163" s="3">
        <v>48</v>
      </c>
      <c r="F163" s="2" t="s">
        <v>33</v>
      </c>
      <c r="G163" s="3">
        <v>3.570333333333333E-2</v>
      </c>
      <c r="H163" s="3">
        <v>3.327870673902792E-2</v>
      </c>
      <c r="I163" s="3">
        <v>30</v>
      </c>
      <c r="J163" s="3">
        <v>1.3231231879151805E-4</v>
      </c>
      <c r="K163" s="3">
        <v>130.33333333333334</v>
      </c>
      <c r="L163" s="3">
        <v>11.379318472074193</v>
      </c>
      <c r="M163" s="3">
        <v>30</v>
      </c>
      <c r="N163" s="3">
        <v>0.34645550307952566</v>
      </c>
      <c r="O163" s="3">
        <v>1.873734</v>
      </c>
      <c r="P163" s="3">
        <v>3.9474203415840702E-3</v>
      </c>
      <c r="Q163" s="3">
        <f t="shared" si="4"/>
        <v>244209.99800000002</v>
      </c>
      <c r="R163" s="3">
        <f t="shared" si="5"/>
        <v>21321.815917953463</v>
      </c>
      <c r="S163" s="2" t="s">
        <v>49</v>
      </c>
      <c r="T163" s="2" t="s">
        <v>45</v>
      </c>
    </row>
    <row r="164" spans="1:20" x14ac:dyDescent="0.2">
      <c r="A164" s="2" t="s">
        <v>3</v>
      </c>
      <c r="B164" s="2" t="s">
        <v>45</v>
      </c>
      <c r="C164" s="2" t="s">
        <v>54</v>
      </c>
      <c r="D164" s="3">
        <v>440</v>
      </c>
      <c r="E164" s="3">
        <v>48</v>
      </c>
      <c r="F164" s="2" t="s">
        <v>33</v>
      </c>
      <c r="G164" s="3">
        <v>4.1106666666666652E-2</v>
      </c>
      <c r="H164" s="3">
        <v>2.8933094469060089E-2</v>
      </c>
      <c r="I164" s="3">
        <v>30</v>
      </c>
      <c r="J164" s="3">
        <v>1.3231231879151805E-4</v>
      </c>
      <c r="K164" s="3">
        <v>129.36666666666667</v>
      </c>
      <c r="L164" s="3">
        <v>9.7004581793278657</v>
      </c>
      <c r="M164" s="3">
        <v>30</v>
      </c>
      <c r="N164" s="3">
        <v>0.34645550307952566</v>
      </c>
      <c r="O164" s="3">
        <v>2.0082499999999999</v>
      </c>
      <c r="P164" s="3">
        <v>4.1667616127766599E-3</v>
      </c>
      <c r="Q164" s="3">
        <f t="shared" si="4"/>
        <v>259800.60833333334</v>
      </c>
      <c r="R164" s="3">
        <f t="shared" si="5"/>
        <v>19480.945138635183</v>
      </c>
      <c r="S164" s="2" t="s">
        <v>49</v>
      </c>
      <c r="T164" s="2" t="s">
        <v>45</v>
      </c>
    </row>
    <row r="165" spans="1:20" x14ac:dyDescent="0.2">
      <c r="A165" s="2" t="s">
        <v>4</v>
      </c>
      <c r="B165" s="2" t="s">
        <v>45</v>
      </c>
      <c r="C165" s="2" t="s">
        <v>53</v>
      </c>
      <c r="D165" s="3">
        <v>440</v>
      </c>
      <c r="E165" s="3">
        <v>48</v>
      </c>
      <c r="F165" s="2" t="s">
        <v>33</v>
      </c>
      <c r="G165" s="3">
        <v>6.5366666666666656E-2</v>
      </c>
      <c r="H165" s="3">
        <v>3.705239833293146E-2</v>
      </c>
      <c r="I165" s="3">
        <v>30</v>
      </c>
      <c r="J165" s="3">
        <v>1.3231231879151805E-4</v>
      </c>
      <c r="K165" s="3">
        <v>114.83333333333331</v>
      </c>
      <c r="L165" s="3">
        <v>18.422962724696472</v>
      </c>
      <c r="M165" s="3">
        <v>30</v>
      </c>
      <c r="N165" s="3">
        <v>0.34645550307952566</v>
      </c>
      <c r="O165" s="3">
        <v>1.8609059999999999</v>
      </c>
      <c r="P165" s="3">
        <v>3.9346062414241101E-3</v>
      </c>
      <c r="Q165" s="3">
        <f t="shared" si="4"/>
        <v>213694.03899999996</v>
      </c>
      <c r="R165" s="3">
        <f t="shared" si="5"/>
        <v>34283.40187216401</v>
      </c>
      <c r="S165" s="2" t="s">
        <v>49</v>
      </c>
      <c r="T165" s="2" t="s">
        <v>45</v>
      </c>
    </row>
    <row r="166" spans="1:20" x14ac:dyDescent="0.2">
      <c r="A166" s="2" t="s">
        <v>5</v>
      </c>
      <c r="B166" s="2" t="s">
        <v>51</v>
      </c>
      <c r="C166" s="2" t="s">
        <v>53</v>
      </c>
      <c r="D166" s="3">
        <v>459</v>
      </c>
      <c r="E166" s="3">
        <v>48</v>
      </c>
      <c r="F166" s="2" t="s">
        <v>33</v>
      </c>
      <c r="G166" s="3">
        <v>4.8603333333333332E-2</v>
      </c>
      <c r="H166" s="3">
        <v>3.7592202057814536E-2</v>
      </c>
      <c r="I166" s="3">
        <v>30</v>
      </c>
      <c r="J166" s="3">
        <v>1.3231231879151805E-4</v>
      </c>
      <c r="K166" s="3">
        <v>103.93333333333334</v>
      </c>
      <c r="L166" s="3">
        <v>14.64452874701751</v>
      </c>
      <c r="M166" s="3">
        <v>30</v>
      </c>
      <c r="N166" s="3">
        <v>0.34645550307952566</v>
      </c>
      <c r="O166" s="3">
        <v>1.9775160000000001</v>
      </c>
      <c r="P166" s="3">
        <v>4.0973944294029297E-3</v>
      </c>
      <c r="Q166" s="3">
        <f t="shared" si="4"/>
        <v>205529.82960000003</v>
      </c>
      <c r="R166" s="3">
        <f t="shared" si="5"/>
        <v>28959.789909687079</v>
      </c>
      <c r="S166" s="2" t="s">
        <v>49</v>
      </c>
      <c r="T166" s="2" t="s">
        <v>45</v>
      </c>
    </row>
    <row r="167" spans="1:20" x14ac:dyDescent="0.2">
      <c r="A167" s="2" t="s">
        <v>6</v>
      </c>
      <c r="B167" s="2" t="s">
        <v>45</v>
      </c>
      <c r="C167" s="2" t="s">
        <v>54</v>
      </c>
      <c r="D167" s="3">
        <v>446</v>
      </c>
      <c r="E167" s="3">
        <v>48</v>
      </c>
      <c r="F167" s="2" t="s">
        <v>33</v>
      </c>
      <c r="G167" s="3">
        <v>1.8630434782608694E-2</v>
      </c>
      <c r="H167" s="3">
        <v>2.0843838309273513E-2</v>
      </c>
      <c r="I167" s="3">
        <v>30</v>
      </c>
      <c r="J167" s="3">
        <v>1.3231231879151805E-4</v>
      </c>
      <c r="K167" s="3">
        <v>121.43333333333334</v>
      </c>
      <c r="L167" s="3">
        <v>15.001518441663016</v>
      </c>
      <c r="M167" s="3">
        <v>30</v>
      </c>
      <c r="N167" s="3">
        <v>0.34645550307952566</v>
      </c>
      <c r="O167" s="3">
        <v>1.8314839999999999</v>
      </c>
      <c r="P167" s="3">
        <v>3.83413572730924E-3</v>
      </c>
      <c r="Q167" s="3">
        <f t="shared" si="4"/>
        <v>222403.20706666668</v>
      </c>
      <c r="R167" s="3">
        <f t="shared" si="5"/>
        <v>27475.041001610745</v>
      </c>
      <c r="S167" s="2" t="s">
        <v>49</v>
      </c>
      <c r="T167" s="2" t="s">
        <v>45</v>
      </c>
    </row>
    <row r="168" spans="1:20" x14ac:dyDescent="0.2">
      <c r="A168" s="2" t="s">
        <v>7</v>
      </c>
      <c r="B168" s="2" t="s">
        <v>51</v>
      </c>
      <c r="C168" s="2" t="s">
        <v>53</v>
      </c>
      <c r="D168" s="3">
        <v>416</v>
      </c>
      <c r="E168" s="3">
        <v>48</v>
      </c>
      <c r="F168" s="2" t="s">
        <v>33</v>
      </c>
      <c r="G168" s="3">
        <v>0.11073666666666666</v>
      </c>
      <c r="H168" s="3">
        <v>3.4033498040737582E-2</v>
      </c>
      <c r="I168" s="3">
        <v>30</v>
      </c>
      <c r="J168" s="3">
        <v>1.3231231879151805E-4</v>
      </c>
      <c r="K168" s="3">
        <v>128.03333333333333</v>
      </c>
      <c r="L168" s="3">
        <v>10.225730074452169</v>
      </c>
      <c r="M168" s="3">
        <v>30</v>
      </c>
      <c r="N168" s="3">
        <v>0.34645550307952566</v>
      </c>
      <c r="O168" s="3">
        <v>2.1904379999999999</v>
      </c>
      <c r="P168" s="3">
        <v>4.4487276668596096E-3</v>
      </c>
      <c r="Q168" s="3">
        <f t="shared" si="4"/>
        <v>280449.07859999995</v>
      </c>
      <c r="R168" s="3">
        <f t="shared" si="5"/>
        <v>22398.827732822858</v>
      </c>
      <c r="S168" s="2" t="s">
        <v>49</v>
      </c>
      <c r="T168" s="2" t="s">
        <v>46</v>
      </c>
    </row>
    <row r="169" spans="1:20" x14ac:dyDescent="0.2">
      <c r="A169" s="2" t="s">
        <v>8</v>
      </c>
      <c r="B169" s="2" t="s">
        <v>45</v>
      </c>
      <c r="C169" s="2" t="s">
        <v>54</v>
      </c>
      <c r="D169" s="3">
        <v>494</v>
      </c>
      <c r="E169" s="3">
        <v>48</v>
      </c>
      <c r="F169" s="2" t="s">
        <v>33</v>
      </c>
      <c r="G169" s="3">
        <v>2.5866666666666666E-2</v>
      </c>
      <c r="H169" s="3">
        <v>2.8966521452866326E-2</v>
      </c>
      <c r="I169" s="3">
        <v>30</v>
      </c>
      <c r="J169" s="3">
        <v>1.3231231879151805E-4</v>
      </c>
      <c r="K169" s="3">
        <v>127</v>
      </c>
      <c r="L169" s="3">
        <v>9.5078914592037709</v>
      </c>
      <c r="M169" s="3">
        <v>30</v>
      </c>
      <c r="N169" s="3">
        <v>0.34645550307952566</v>
      </c>
      <c r="O169" s="3">
        <v>1.855469</v>
      </c>
      <c r="P169" s="3">
        <v>3.8430593931110101E-3</v>
      </c>
      <c r="Q169" s="3">
        <f t="shared" si="4"/>
        <v>235644.56299999999</v>
      </c>
      <c r="R169" s="3">
        <f t="shared" si="5"/>
        <v>17641.597857917361</v>
      </c>
      <c r="S169" s="2" t="s">
        <v>49</v>
      </c>
      <c r="T169" s="2" t="s">
        <v>45</v>
      </c>
    </row>
    <row r="170" spans="1:20" x14ac:dyDescent="0.2">
      <c r="A170" s="2" t="s">
        <v>9</v>
      </c>
      <c r="B170" s="2" t="s">
        <v>51</v>
      </c>
      <c r="C170" s="2" t="s">
        <v>53</v>
      </c>
      <c r="D170" s="3">
        <v>480</v>
      </c>
      <c r="E170" s="3">
        <v>48</v>
      </c>
      <c r="F170" s="2" t="s">
        <v>33</v>
      </c>
      <c r="G170" s="3">
        <v>9.1723333333333337E-2</v>
      </c>
      <c r="H170" s="3">
        <v>3.8241824253325347E-2</v>
      </c>
      <c r="I170" s="3">
        <v>30</v>
      </c>
      <c r="J170" s="3">
        <v>1.3231231879151805E-4</v>
      </c>
      <c r="K170" s="3">
        <v>114</v>
      </c>
      <c r="L170" s="3">
        <v>13.446189051177289</v>
      </c>
      <c r="M170" s="3">
        <v>30</v>
      </c>
      <c r="N170" s="3">
        <v>0.34645550307952566</v>
      </c>
      <c r="O170" s="3">
        <v>2.0111409999999998</v>
      </c>
      <c r="P170" s="3">
        <v>4.2304803676227899E-3</v>
      </c>
      <c r="Q170" s="3">
        <f t="shared" si="4"/>
        <v>229270.07399999999</v>
      </c>
      <c r="R170" s="3">
        <f t="shared" si="5"/>
        <v>27042.182094573742</v>
      </c>
      <c r="S170" s="2" t="s">
        <v>49</v>
      </c>
      <c r="T170" s="2" t="s">
        <v>45</v>
      </c>
    </row>
    <row r="171" spans="1:20" x14ac:dyDescent="0.2">
      <c r="A171" s="2" t="s">
        <v>10</v>
      </c>
      <c r="B171" s="2" t="s">
        <v>45</v>
      </c>
      <c r="C171" s="2" t="s">
        <v>54</v>
      </c>
      <c r="D171" s="3">
        <v>480</v>
      </c>
      <c r="E171" s="3">
        <v>48</v>
      </c>
      <c r="F171" s="2" t="s">
        <v>33</v>
      </c>
      <c r="G171" s="3">
        <v>3.5937931034482749E-2</v>
      </c>
      <c r="H171" s="3">
        <v>3.6417345372710019E-2</v>
      </c>
      <c r="I171" s="3">
        <v>30</v>
      </c>
      <c r="J171" s="3">
        <v>1.3231231879151805E-4</v>
      </c>
      <c r="K171" s="3">
        <v>121.26666666666668</v>
      </c>
      <c r="L171" s="3">
        <v>16.737051379764861</v>
      </c>
      <c r="M171" s="3">
        <v>30</v>
      </c>
      <c r="N171" s="3">
        <v>0.34645550307952566</v>
      </c>
      <c r="O171" s="3">
        <v>1.8219380000000001</v>
      </c>
      <c r="P171" s="3">
        <v>3.9499656630309502E-3</v>
      </c>
      <c r="Q171" s="3">
        <f t="shared" si="4"/>
        <v>220940.34813333338</v>
      </c>
      <c r="R171" s="3">
        <f t="shared" si="5"/>
        <v>30493.869916746029</v>
      </c>
      <c r="S171" s="2" t="s">
        <v>49</v>
      </c>
      <c r="T171" s="2" t="s">
        <v>45</v>
      </c>
    </row>
    <row r="172" spans="1:20" x14ac:dyDescent="0.2">
      <c r="A172" s="2" t="s">
        <v>11</v>
      </c>
      <c r="B172" s="2" t="s">
        <v>45</v>
      </c>
      <c r="C172" s="2" t="s">
        <v>53</v>
      </c>
      <c r="D172" s="3">
        <v>480</v>
      </c>
      <c r="E172" s="3">
        <v>48</v>
      </c>
      <c r="F172" s="2" t="s">
        <v>33</v>
      </c>
      <c r="G172" s="3">
        <v>5.6059999999999999E-2</v>
      </c>
      <c r="H172" s="3">
        <v>2.8847167394159635E-2</v>
      </c>
      <c r="I172" s="3">
        <v>30</v>
      </c>
      <c r="J172" s="3">
        <v>1.3231231879151805E-4</v>
      </c>
      <c r="K172" s="3">
        <v>127.46666666666668</v>
      </c>
      <c r="L172" s="3">
        <v>14.136792029625706</v>
      </c>
      <c r="M172" s="3">
        <v>30</v>
      </c>
      <c r="N172" s="3">
        <v>0.34645550307952566</v>
      </c>
      <c r="O172" s="3">
        <v>1.932547</v>
      </c>
      <c r="P172" s="3">
        <v>4.1750637479948697E-3</v>
      </c>
      <c r="Q172" s="3">
        <f t="shared" si="4"/>
        <v>246335.32426666669</v>
      </c>
      <c r="R172" s="3">
        <f t="shared" si="5"/>
        <v>27320.015026477067</v>
      </c>
      <c r="S172" s="2" t="s">
        <v>49</v>
      </c>
      <c r="T172" s="2" t="s">
        <v>45</v>
      </c>
    </row>
    <row r="173" spans="1:20" x14ac:dyDescent="0.2">
      <c r="A173" s="2" t="s">
        <v>12</v>
      </c>
      <c r="B173" s="2" t="s">
        <v>51</v>
      </c>
      <c r="C173" s="2" t="s">
        <v>54</v>
      </c>
      <c r="D173" s="3">
        <v>416</v>
      </c>
      <c r="E173" s="3">
        <v>48</v>
      </c>
      <c r="F173" s="2" t="s">
        <v>33</v>
      </c>
      <c r="G173" s="3">
        <v>2.0613333333333334E-2</v>
      </c>
      <c r="H173" s="3">
        <v>1.7986990360319376E-2</v>
      </c>
      <c r="I173" s="3">
        <v>30</v>
      </c>
      <c r="J173" s="3">
        <v>1.3231231879151805E-4</v>
      </c>
      <c r="K173" s="3">
        <v>120.63333333333334</v>
      </c>
      <c r="L173" s="3">
        <v>11.725992021525892</v>
      </c>
      <c r="M173" s="3">
        <v>30</v>
      </c>
      <c r="N173" s="3">
        <v>0.34645550307952566</v>
      </c>
      <c r="O173" s="3">
        <v>2.115656</v>
      </c>
      <c r="P173" s="3">
        <v>4.1949040078702099E-3</v>
      </c>
      <c r="Q173" s="3">
        <f t="shared" si="4"/>
        <v>255218.63546666669</v>
      </c>
      <c r="R173" s="3">
        <f t="shared" si="5"/>
        <v>24808.165376293382</v>
      </c>
      <c r="S173" s="2" t="s">
        <v>49</v>
      </c>
      <c r="T173" s="2" t="s">
        <v>46</v>
      </c>
    </row>
    <row r="174" spans="1:20" x14ac:dyDescent="0.2">
      <c r="A174" s="2" t="s">
        <v>13</v>
      </c>
      <c r="B174" s="2" t="s">
        <v>45</v>
      </c>
      <c r="C174" s="2" t="s">
        <v>54</v>
      </c>
      <c r="D174" s="3">
        <v>416</v>
      </c>
      <c r="E174" s="3">
        <v>48</v>
      </c>
      <c r="F174" s="2" t="s">
        <v>33</v>
      </c>
      <c r="G174" s="3">
        <v>2.9783333333333328E-2</v>
      </c>
      <c r="H174" s="3">
        <v>2.9110468716406625E-2</v>
      </c>
      <c r="I174" s="3">
        <v>30</v>
      </c>
      <c r="J174" s="3">
        <v>1.3231231879151805E-4</v>
      </c>
      <c r="K174" s="3">
        <v>116.13333333333334</v>
      </c>
      <c r="L174" s="3">
        <v>12.553175782335808</v>
      </c>
      <c r="M174" s="3">
        <v>30</v>
      </c>
      <c r="N174" s="3">
        <v>0.34645550307952566</v>
      </c>
      <c r="O174" s="3">
        <v>2.231938</v>
      </c>
      <c r="P174" s="3">
        <v>4.3888612494443801E-3</v>
      </c>
      <c r="Q174" s="3">
        <f t="shared" si="4"/>
        <v>259202.39973333335</v>
      </c>
      <c r="R174" s="3">
        <f t="shared" si="5"/>
        <v>28017.910049275019</v>
      </c>
      <c r="S174" s="2" t="s">
        <v>49</v>
      </c>
      <c r="T174" s="2" t="s">
        <v>46</v>
      </c>
    </row>
    <row r="175" spans="1:20" x14ac:dyDescent="0.2">
      <c r="A175" s="2" t="s">
        <v>14</v>
      </c>
      <c r="B175" s="2" t="s">
        <v>45</v>
      </c>
      <c r="C175" s="2" t="s">
        <v>53</v>
      </c>
      <c r="D175" s="3">
        <v>416</v>
      </c>
      <c r="E175" s="3">
        <v>48</v>
      </c>
      <c r="F175" s="2" t="s">
        <v>33</v>
      </c>
      <c r="G175" s="3">
        <v>0.10289666666666666</v>
      </c>
      <c r="H175" s="3">
        <v>3.4695989041322282E-2</v>
      </c>
      <c r="I175" s="3">
        <v>30</v>
      </c>
      <c r="J175" s="3">
        <v>1.3231231879151805E-4</v>
      </c>
      <c r="K175" s="3">
        <v>136.16666666666666</v>
      </c>
      <c r="L175" s="3">
        <v>8.0253071938434584</v>
      </c>
      <c r="M175" s="3">
        <v>30</v>
      </c>
      <c r="N175" s="3">
        <v>0.34645550307952566</v>
      </c>
      <c r="O175" s="3">
        <v>2.2043750000000002</v>
      </c>
      <c r="P175" s="3">
        <v>4.4950412114710403E-3</v>
      </c>
      <c r="Q175" s="3">
        <f t="shared" si="4"/>
        <v>300162.39583333331</v>
      </c>
      <c r="R175" s="3">
        <f t="shared" si="5"/>
        <v>17690.786545428677</v>
      </c>
      <c r="S175" s="2" t="s">
        <v>49</v>
      </c>
      <c r="T175" s="2" t="s">
        <v>46</v>
      </c>
    </row>
    <row r="176" spans="1:20" x14ac:dyDescent="0.2">
      <c r="A176" s="2" t="s">
        <v>15</v>
      </c>
      <c r="B176" s="2" t="s">
        <v>51</v>
      </c>
      <c r="C176" s="2" t="s">
        <v>53</v>
      </c>
      <c r="D176" s="3">
        <v>432</v>
      </c>
      <c r="E176" s="3">
        <v>48</v>
      </c>
      <c r="F176" s="2" t="s">
        <v>33</v>
      </c>
      <c r="G176" s="3">
        <v>6.5089999999999995E-2</v>
      </c>
      <c r="H176" s="3">
        <v>2.6329354340735363E-2</v>
      </c>
      <c r="I176" s="3">
        <v>30</v>
      </c>
      <c r="J176" s="3">
        <v>1.3231231879151805E-4</v>
      </c>
      <c r="K176" s="3">
        <v>127.2</v>
      </c>
      <c r="L176" s="3">
        <v>11.29129458181538</v>
      </c>
      <c r="M176" s="3">
        <v>30</v>
      </c>
      <c r="N176" s="3">
        <v>0.34645550307952566</v>
      </c>
      <c r="O176" s="3">
        <v>2.135437</v>
      </c>
      <c r="P176" s="3">
        <v>4.3006142286949904E-3</v>
      </c>
      <c r="Q176" s="3">
        <f t="shared" si="4"/>
        <v>271627.58640000003</v>
      </c>
      <c r="R176" s="3">
        <f t="shared" si="5"/>
        <v>24111.848227908089</v>
      </c>
      <c r="S176" s="2" t="s">
        <v>49</v>
      </c>
      <c r="T176" s="2" t="s">
        <v>45</v>
      </c>
    </row>
    <row r="177" spans="1:20" x14ac:dyDescent="0.2">
      <c r="A177" s="2" t="s">
        <v>16</v>
      </c>
      <c r="B177" s="2" t="s">
        <v>45</v>
      </c>
      <c r="C177" s="2" t="s">
        <v>53</v>
      </c>
      <c r="D177" s="3">
        <v>432</v>
      </c>
      <c r="E177" s="3">
        <v>48</v>
      </c>
      <c r="F177" s="2" t="s">
        <v>33</v>
      </c>
      <c r="G177" s="3">
        <v>9.7979999999999998E-2</v>
      </c>
      <c r="H177" s="3">
        <v>2.8860750740986162E-2</v>
      </c>
      <c r="I177" s="3">
        <v>30</v>
      </c>
      <c r="J177" s="3">
        <v>1.3231231879151805E-4</v>
      </c>
      <c r="K177" s="3">
        <v>122.23333333333332</v>
      </c>
      <c r="L177" s="3">
        <v>10.072018444957076</v>
      </c>
      <c r="M177" s="3">
        <v>30</v>
      </c>
      <c r="N177" s="3">
        <v>0.34645550307952566</v>
      </c>
      <c r="O177" s="3">
        <v>1.930766</v>
      </c>
      <c r="P177" s="3">
        <v>4.1109240446081498E-3</v>
      </c>
      <c r="Q177" s="3">
        <f t="shared" si="4"/>
        <v>236003.96406666664</v>
      </c>
      <c r="R177" s="3">
        <f t="shared" si="5"/>
        <v>19446.710764895994</v>
      </c>
      <c r="S177" s="2" t="s">
        <v>49</v>
      </c>
      <c r="T177" s="2" t="s">
        <v>45</v>
      </c>
    </row>
    <row r="178" spans="1:20" x14ac:dyDescent="0.2">
      <c r="A178" s="2" t="s">
        <v>1</v>
      </c>
      <c r="B178" s="2" t="s">
        <v>51</v>
      </c>
      <c r="C178" s="2" t="s">
        <v>53</v>
      </c>
      <c r="D178" s="3">
        <v>443</v>
      </c>
      <c r="E178" s="3">
        <v>55</v>
      </c>
      <c r="F178" s="2" t="s">
        <v>31</v>
      </c>
      <c r="G178" s="3">
        <v>4.8814285714285713E-2</v>
      </c>
      <c r="H178" s="3">
        <v>2.0479793426094663E-2</v>
      </c>
      <c r="I178" s="3">
        <v>30</v>
      </c>
      <c r="J178" s="3">
        <v>1.0542503245088145E-4</v>
      </c>
      <c r="K178" s="3">
        <v>19.5</v>
      </c>
      <c r="L178" s="3">
        <v>8.4646323015237943</v>
      </c>
      <c r="M178" s="3">
        <v>30</v>
      </c>
      <c r="N178" s="3">
        <v>0.89870938340645079</v>
      </c>
      <c r="O178" s="3">
        <v>1.5932500000000001</v>
      </c>
      <c r="P178" s="3">
        <v>3.2808927874212099E-3</v>
      </c>
      <c r="Q178" s="3">
        <f t="shared" si="4"/>
        <v>31068.375</v>
      </c>
      <c r="R178" s="3">
        <f t="shared" si="5"/>
        <v>13486.275414402786</v>
      </c>
      <c r="S178" s="2" t="s">
        <v>49</v>
      </c>
      <c r="T178" s="2" t="s">
        <v>45</v>
      </c>
    </row>
    <row r="179" spans="1:20" x14ac:dyDescent="0.2">
      <c r="A179" s="2" t="s">
        <v>2</v>
      </c>
      <c r="B179" s="2" t="s">
        <v>51</v>
      </c>
      <c r="C179" s="2" t="s">
        <v>54</v>
      </c>
      <c r="D179" s="3">
        <v>459</v>
      </c>
      <c r="E179" s="3">
        <v>55</v>
      </c>
      <c r="F179" s="2" t="s">
        <v>31</v>
      </c>
      <c r="G179" s="3">
        <v>1.6556666666666661E-2</v>
      </c>
      <c r="H179" s="3">
        <v>1.439973803774067E-2</v>
      </c>
      <c r="I179" s="3">
        <v>30</v>
      </c>
      <c r="J179" s="3">
        <v>1.0542503245088145E-4</v>
      </c>
      <c r="K179" s="3">
        <v>111.83333333333331</v>
      </c>
      <c r="L179" s="3">
        <v>18.738700298817118</v>
      </c>
      <c r="M179" s="3">
        <v>30</v>
      </c>
      <c r="N179" s="3">
        <v>0.89870938340645079</v>
      </c>
      <c r="O179" s="3">
        <v>1.437797</v>
      </c>
      <c r="P179" s="3">
        <v>3.0290260649956501E-3</v>
      </c>
      <c r="Q179" s="3">
        <f t="shared" si="4"/>
        <v>160793.63116666663</v>
      </c>
      <c r="R179" s="3">
        <f t="shared" si="5"/>
        <v>26942.447073538358</v>
      </c>
      <c r="S179" s="2" t="s">
        <v>49</v>
      </c>
      <c r="T179" s="2" t="s">
        <v>45</v>
      </c>
    </row>
    <row r="180" spans="1:20" x14ac:dyDescent="0.2">
      <c r="A180" s="2" t="s">
        <v>3</v>
      </c>
      <c r="B180" s="2" t="s">
        <v>45</v>
      </c>
      <c r="C180" s="2" t="s">
        <v>54</v>
      </c>
      <c r="D180" s="3">
        <v>440</v>
      </c>
      <c r="E180" s="3">
        <v>55</v>
      </c>
      <c r="F180" s="2" t="s">
        <v>31</v>
      </c>
      <c r="G180" s="3">
        <v>2.3163333333333334E-2</v>
      </c>
      <c r="H180" s="3">
        <v>1.8330857105498977E-2</v>
      </c>
      <c r="I180" s="3">
        <v>30</v>
      </c>
      <c r="J180" s="3">
        <v>1.0542503245088145E-4</v>
      </c>
      <c r="K180" s="3">
        <v>91.2</v>
      </c>
      <c r="L180" s="3">
        <v>18.414487050508178</v>
      </c>
      <c r="M180" s="3">
        <v>30</v>
      </c>
      <c r="N180" s="3">
        <v>0.89870938340645079</v>
      </c>
      <c r="O180" s="3">
        <v>1.6022339999999999</v>
      </c>
      <c r="P180" s="3">
        <v>3.32435061664912E-3</v>
      </c>
      <c r="Q180" s="3">
        <f t="shared" si="4"/>
        <v>146123.7408</v>
      </c>
      <c r="R180" s="3">
        <f t="shared" si="5"/>
        <v>29504.317244883918</v>
      </c>
      <c r="S180" s="2" t="s">
        <v>49</v>
      </c>
      <c r="T180" s="2" t="s">
        <v>45</v>
      </c>
    </row>
    <row r="181" spans="1:20" x14ac:dyDescent="0.2">
      <c r="A181" s="2" t="s">
        <v>4</v>
      </c>
      <c r="B181" s="2" t="s">
        <v>45</v>
      </c>
      <c r="C181" s="2" t="s">
        <v>53</v>
      </c>
      <c r="D181" s="3">
        <v>440</v>
      </c>
      <c r="E181" s="3">
        <v>55</v>
      </c>
      <c r="F181" s="2" t="s">
        <v>31</v>
      </c>
      <c r="G181" s="3">
        <v>7.9856666666666673E-2</v>
      </c>
      <c r="H181" s="3">
        <v>4.1621570395916373E-2</v>
      </c>
      <c r="I181" s="3">
        <v>30</v>
      </c>
      <c r="J181" s="3">
        <v>1.0542503245088145E-4</v>
      </c>
      <c r="K181" s="3">
        <v>94</v>
      </c>
      <c r="L181" s="3">
        <v>20.202310098930106</v>
      </c>
      <c r="M181" s="3">
        <v>30</v>
      </c>
      <c r="N181" s="3">
        <v>0.89870938340645079</v>
      </c>
      <c r="O181" s="3">
        <v>1.476281</v>
      </c>
      <c r="P181" s="3">
        <v>3.1213744470144299E-3</v>
      </c>
      <c r="Q181" s="3">
        <f t="shared" si="4"/>
        <v>138770.41399999999</v>
      </c>
      <c r="R181" s="3">
        <f t="shared" si="5"/>
        <v>29824.286555158633</v>
      </c>
      <c r="S181" s="2" t="s">
        <v>49</v>
      </c>
      <c r="T181" s="2" t="s">
        <v>45</v>
      </c>
    </row>
    <row r="182" spans="1:20" x14ac:dyDescent="0.2">
      <c r="A182" s="2" t="s">
        <v>5</v>
      </c>
      <c r="B182" s="2" t="s">
        <v>51</v>
      </c>
      <c r="C182" s="2" t="s">
        <v>53</v>
      </c>
      <c r="D182" s="3">
        <v>459</v>
      </c>
      <c r="E182" s="3">
        <v>55</v>
      </c>
      <c r="F182" s="2" t="s">
        <v>31</v>
      </c>
      <c r="G182" s="3">
        <v>4.4249999999999998E-2</v>
      </c>
      <c r="H182" s="3">
        <v>3.246491182800286E-2</v>
      </c>
      <c r="I182" s="3">
        <v>30</v>
      </c>
      <c r="J182" s="3">
        <v>1.0542503245088145E-4</v>
      </c>
      <c r="K182" s="3">
        <v>50.033333333333331</v>
      </c>
      <c r="L182" s="3">
        <v>16.686288449569073</v>
      </c>
      <c r="M182" s="3">
        <v>30</v>
      </c>
      <c r="N182" s="3">
        <v>0.89870938340645079</v>
      </c>
      <c r="O182" s="3">
        <v>1.47475</v>
      </c>
      <c r="P182" s="3">
        <v>3.0556680374580901E-3</v>
      </c>
      <c r="Q182" s="3">
        <f t="shared" si="4"/>
        <v>73786.658333333326</v>
      </c>
      <c r="R182" s="3">
        <f t="shared" si="5"/>
        <v>24608.103891001992</v>
      </c>
      <c r="S182" s="2" t="s">
        <v>49</v>
      </c>
      <c r="T182" s="2" t="s">
        <v>45</v>
      </c>
    </row>
    <row r="183" spans="1:20" x14ac:dyDescent="0.2">
      <c r="A183" s="2" t="s">
        <v>6</v>
      </c>
      <c r="B183" s="2" t="s">
        <v>45</v>
      </c>
      <c r="C183" s="2" t="s">
        <v>54</v>
      </c>
      <c r="D183" s="3">
        <v>446</v>
      </c>
      <c r="E183" s="3">
        <v>55</v>
      </c>
      <c r="F183" s="2" t="s">
        <v>31</v>
      </c>
      <c r="G183" s="3">
        <v>2.3666666666666666E-2</v>
      </c>
      <c r="H183" s="3">
        <v>2.9416881019049056E-2</v>
      </c>
      <c r="I183" s="3">
        <v>30</v>
      </c>
      <c r="J183" s="3">
        <v>1.0542503245088145E-4</v>
      </c>
      <c r="K183" s="3">
        <v>71.966666666666669</v>
      </c>
      <c r="L183" s="3">
        <v>20.262417317673517</v>
      </c>
      <c r="M183" s="3">
        <v>30</v>
      </c>
      <c r="N183" s="3">
        <v>0.89870938340645079</v>
      </c>
      <c r="O183" s="3">
        <v>1.5008440000000001</v>
      </c>
      <c r="P183" s="3">
        <v>3.1419546124987802E-3</v>
      </c>
      <c r="Q183" s="3">
        <f t="shared" si="4"/>
        <v>108010.73986666668</v>
      </c>
      <c r="R183" s="3">
        <f t="shared" si="5"/>
        <v>30410.727456726392</v>
      </c>
      <c r="S183" s="2" t="s">
        <v>49</v>
      </c>
      <c r="T183" s="2" t="s">
        <v>45</v>
      </c>
    </row>
    <row r="184" spans="1:20" x14ac:dyDescent="0.2">
      <c r="A184" s="2" t="s">
        <v>7</v>
      </c>
      <c r="B184" s="2" t="s">
        <v>51</v>
      </c>
      <c r="C184" s="2" t="s">
        <v>53</v>
      </c>
      <c r="D184" s="3">
        <v>416</v>
      </c>
      <c r="E184" s="3">
        <v>55</v>
      </c>
      <c r="F184" s="2" t="s">
        <v>31</v>
      </c>
      <c r="G184" s="3">
        <v>7.7690000000000009E-2</v>
      </c>
      <c r="H184" s="3">
        <v>4.4912992552267099E-2</v>
      </c>
      <c r="I184" s="3">
        <v>30</v>
      </c>
      <c r="J184" s="3">
        <v>1.0542503245088145E-4</v>
      </c>
      <c r="K184" s="3">
        <v>94.566666666666663</v>
      </c>
      <c r="L184" s="3">
        <v>27.585845807023738</v>
      </c>
      <c r="M184" s="3">
        <v>30</v>
      </c>
      <c r="N184" s="3">
        <v>0.89870938340645079</v>
      </c>
      <c r="O184" s="3">
        <v>1.446922</v>
      </c>
      <c r="P184" s="3">
        <v>2.9386642914284002E-3</v>
      </c>
      <c r="Q184" s="3">
        <f t="shared" si="4"/>
        <v>136830.59046666665</v>
      </c>
      <c r="R184" s="3">
        <f t="shared" si="5"/>
        <v>39914.567186790402</v>
      </c>
      <c r="S184" s="2" t="s">
        <v>49</v>
      </c>
      <c r="T184" s="2" t="s">
        <v>46</v>
      </c>
    </row>
    <row r="185" spans="1:20" x14ac:dyDescent="0.2">
      <c r="A185" s="2" t="s">
        <v>8</v>
      </c>
      <c r="B185" s="2" t="s">
        <v>45</v>
      </c>
      <c r="C185" s="2" t="s">
        <v>54</v>
      </c>
      <c r="D185" s="3">
        <v>494</v>
      </c>
      <c r="E185" s="3">
        <v>55</v>
      </c>
      <c r="F185" s="2" t="s">
        <v>31</v>
      </c>
      <c r="G185" s="3">
        <v>3.702758620689655E-2</v>
      </c>
      <c r="H185" s="3">
        <v>3.8782193714977202E-2</v>
      </c>
      <c r="I185" s="3">
        <v>30</v>
      </c>
      <c r="J185" s="3">
        <v>1.0542503245088145E-4</v>
      </c>
      <c r="K185" s="3">
        <v>55.833333333333336</v>
      </c>
      <c r="L185" s="3">
        <v>15.192286054295964</v>
      </c>
      <c r="M185" s="3">
        <v>30</v>
      </c>
      <c r="N185" s="3">
        <v>0.89870938340645079</v>
      </c>
      <c r="O185" s="3">
        <v>1.4995309999999999</v>
      </c>
      <c r="P185" s="3">
        <v>3.1058383054694701E-3</v>
      </c>
      <c r="Q185" s="3">
        <f t="shared" si="4"/>
        <v>83723.814166666663</v>
      </c>
      <c r="R185" s="3">
        <f t="shared" si="5"/>
        <v>22781.303899284481</v>
      </c>
      <c r="S185" s="2" t="s">
        <v>49</v>
      </c>
      <c r="T185" s="2" t="s">
        <v>45</v>
      </c>
    </row>
    <row r="186" spans="1:20" x14ac:dyDescent="0.2">
      <c r="A186" s="2" t="s">
        <v>9</v>
      </c>
      <c r="B186" s="2" t="s">
        <v>51</v>
      </c>
      <c r="C186" s="2" t="s">
        <v>53</v>
      </c>
      <c r="D186" s="3">
        <v>480</v>
      </c>
      <c r="E186" s="3">
        <v>55</v>
      </c>
      <c r="F186" s="2" t="s">
        <v>31</v>
      </c>
      <c r="G186" s="3">
        <v>5.0789999999999995E-2</v>
      </c>
      <c r="H186" s="3">
        <v>3.4064882699538737E-2</v>
      </c>
      <c r="I186" s="3">
        <v>30</v>
      </c>
      <c r="J186" s="3">
        <v>1.0542503245088145E-4</v>
      </c>
      <c r="K186" s="3">
        <v>51.3</v>
      </c>
      <c r="L186" s="3">
        <v>14.26218777046495</v>
      </c>
      <c r="M186" s="3">
        <v>30</v>
      </c>
      <c r="N186" s="3">
        <v>0.89870938340645079</v>
      </c>
      <c r="O186" s="3">
        <v>1.52925</v>
      </c>
      <c r="P186" s="3">
        <v>3.2168118009563498E-3</v>
      </c>
      <c r="Q186" s="3">
        <f t="shared" si="4"/>
        <v>78450.524999999994</v>
      </c>
      <c r="R186" s="3">
        <f t="shared" si="5"/>
        <v>21810.450647983522</v>
      </c>
      <c r="S186" s="2" t="s">
        <v>49</v>
      </c>
      <c r="T186" s="2" t="s">
        <v>45</v>
      </c>
    </row>
    <row r="187" spans="1:20" x14ac:dyDescent="0.2">
      <c r="A187" s="2" t="s">
        <v>10</v>
      </c>
      <c r="B187" s="2" t="s">
        <v>45</v>
      </c>
      <c r="C187" s="2" t="s">
        <v>54</v>
      </c>
      <c r="D187" s="3">
        <v>480</v>
      </c>
      <c r="E187" s="3">
        <v>55</v>
      </c>
      <c r="F187" s="2" t="s">
        <v>31</v>
      </c>
      <c r="G187" s="3">
        <v>3.9633333333333326E-2</v>
      </c>
      <c r="H187" s="3">
        <v>3.7959428634032705E-2</v>
      </c>
      <c r="I187" s="3">
        <v>30</v>
      </c>
      <c r="J187" s="3">
        <v>1.0542503245088145E-4</v>
      </c>
      <c r="K187" s="3">
        <v>81.2</v>
      </c>
      <c r="L187" s="3">
        <v>19.76765034089788</v>
      </c>
      <c r="M187" s="3">
        <v>30</v>
      </c>
      <c r="N187" s="3">
        <v>0.89870938340645079</v>
      </c>
      <c r="O187" s="3">
        <v>1.444984</v>
      </c>
      <c r="P187" s="3">
        <v>3.1327285470905799E-3</v>
      </c>
      <c r="Q187" s="3">
        <f t="shared" si="4"/>
        <v>117332.70080000001</v>
      </c>
      <c r="R187" s="3">
        <f t="shared" si="5"/>
        <v>28563.938460191981</v>
      </c>
      <c r="S187" s="2" t="s">
        <v>49</v>
      </c>
      <c r="T187" s="2" t="s">
        <v>45</v>
      </c>
    </row>
    <row r="188" spans="1:20" x14ac:dyDescent="0.2">
      <c r="A188" s="2" t="s">
        <v>11</v>
      </c>
      <c r="B188" s="2" t="s">
        <v>45</v>
      </c>
      <c r="C188" s="2" t="s">
        <v>53</v>
      </c>
      <c r="D188" s="3">
        <v>480</v>
      </c>
      <c r="E188" s="3">
        <v>55</v>
      </c>
      <c r="F188" s="2" t="s">
        <v>31</v>
      </c>
      <c r="G188" s="3">
        <v>5.6986666666666672E-2</v>
      </c>
      <c r="H188" s="3">
        <v>3.0359300972775307E-2</v>
      </c>
      <c r="I188" s="3">
        <v>30</v>
      </c>
      <c r="J188" s="3">
        <v>1.0542503245088145E-4</v>
      </c>
      <c r="K188" s="3">
        <v>94.8</v>
      </c>
      <c r="L188" s="3">
        <v>15.765785740013088</v>
      </c>
      <c r="M188" s="3">
        <v>30</v>
      </c>
      <c r="N188" s="3">
        <v>0.89870938340645079</v>
      </c>
      <c r="O188" s="3">
        <v>1.4662189999999999</v>
      </c>
      <c r="P188" s="3">
        <v>3.1676113406407598E-3</v>
      </c>
      <c r="Q188" s="3">
        <f t="shared" si="4"/>
        <v>138997.5612</v>
      </c>
      <c r="R188" s="3">
        <f t="shared" si="5"/>
        <v>23116.094601936249</v>
      </c>
      <c r="S188" s="2" t="s">
        <v>49</v>
      </c>
      <c r="T188" s="2" t="s">
        <v>45</v>
      </c>
    </row>
    <row r="189" spans="1:20" x14ac:dyDescent="0.2">
      <c r="A189" s="2" t="s">
        <v>12</v>
      </c>
      <c r="B189" s="2" t="s">
        <v>51</v>
      </c>
      <c r="C189" s="2" t="s">
        <v>54</v>
      </c>
      <c r="D189" s="3">
        <v>416</v>
      </c>
      <c r="E189" s="3">
        <v>55</v>
      </c>
      <c r="F189" s="2" t="s">
        <v>31</v>
      </c>
      <c r="G189" s="3">
        <v>3.0783333333333336E-2</v>
      </c>
      <c r="H189" s="3">
        <v>2.7665141524227842E-2</v>
      </c>
      <c r="I189" s="3">
        <v>30</v>
      </c>
      <c r="J189" s="3">
        <v>1.0542503245088145E-4</v>
      </c>
      <c r="K189" s="3">
        <v>90.566666666666663</v>
      </c>
      <c r="L189" s="3">
        <v>25.889101095935249</v>
      </c>
      <c r="M189" s="3">
        <v>30</v>
      </c>
      <c r="N189" s="3">
        <v>0.89870938340645079</v>
      </c>
      <c r="O189" s="3">
        <v>1.547531</v>
      </c>
      <c r="P189" s="3">
        <v>3.0684307818489398E-3</v>
      </c>
      <c r="Q189" s="3">
        <f t="shared" si="4"/>
        <v>140154.72423333331</v>
      </c>
      <c r="R189" s="3">
        <f t="shared" si="5"/>
        <v>40064.186508093771</v>
      </c>
      <c r="S189" s="2" t="s">
        <v>49</v>
      </c>
      <c r="T189" s="2" t="s">
        <v>46</v>
      </c>
    </row>
    <row r="190" spans="1:20" x14ac:dyDescent="0.2">
      <c r="A190" s="2" t="s">
        <v>13</v>
      </c>
      <c r="B190" s="2" t="s">
        <v>45</v>
      </c>
      <c r="C190" s="2" t="s">
        <v>54</v>
      </c>
      <c r="D190" s="3">
        <v>416</v>
      </c>
      <c r="E190" s="3">
        <v>55</v>
      </c>
      <c r="F190" s="2" t="s">
        <v>31</v>
      </c>
      <c r="G190" s="3">
        <v>3.2303333333333337E-2</v>
      </c>
      <c r="H190" s="3">
        <v>3.7722862062974788E-2</v>
      </c>
      <c r="I190" s="3">
        <v>30</v>
      </c>
      <c r="J190" s="3">
        <v>1.0542503245088145E-4</v>
      </c>
      <c r="K190" s="3">
        <v>65.966666666666669</v>
      </c>
      <c r="L190" s="3">
        <v>19.799803590496101</v>
      </c>
      <c r="M190" s="3">
        <v>30</v>
      </c>
      <c r="N190" s="3">
        <v>0.89870938340645079</v>
      </c>
      <c r="O190" s="3">
        <v>1.650531</v>
      </c>
      <c r="P190" s="3">
        <v>3.2455881601131699E-3</v>
      </c>
      <c r="Q190" s="3">
        <f t="shared" si="4"/>
        <v>108880.02830000001</v>
      </c>
      <c r="R190" s="3">
        <f t="shared" si="5"/>
        <v>32680.189620025118</v>
      </c>
      <c r="S190" s="2" t="s">
        <v>49</v>
      </c>
      <c r="T190" s="2" t="s">
        <v>46</v>
      </c>
    </row>
    <row r="191" spans="1:20" x14ac:dyDescent="0.2">
      <c r="A191" s="2" t="s">
        <v>14</v>
      </c>
      <c r="B191" s="2" t="s">
        <v>45</v>
      </c>
      <c r="C191" s="2" t="s">
        <v>53</v>
      </c>
      <c r="D191" s="3">
        <v>416</v>
      </c>
      <c r="E191" s="3">
        <v>55</v>
      </c>
      <c r="F191" s="2" t="s">
        <v>31</v>
      </c>
      <c r="G191" s="3">
        <v>9.3049999999999994E-2</v>
      </c>
      <c r="H191" s="3">
        <v>5.3330102506308132E-2</v>
      </c>
      <c r="I191" s="3">
        <v>30</v>
      </c>
      <c r="J191" s="3">
        <v>1.0542503245088145E-4</v>
      </c>
      <c r="K191" s="3">
        <v>101.93333333333334</v>
      </c>
      <c r="L191" s="3">
        <v>20.806943285569098</v>
      </c>
      <c r="M191" s="3">
        <v>30</v>
      </c>
      <c r="N191" s="3">
        <v>0.89870938340645079</v>
      </c>
      <c r="O191" s="3">
        <v>1.4902660000000001</v>
      </c>
      <c r="P191" s="3">
        <v>3.03886910623379E-3</v>
      </c>
      <c r="Q191" s="3">
        <f t="shared" si="4"/>
        <v>151907.78093333336</v>
      </c>
      <c r="R191" s="3">
        <f t="shared" si="5"/>
        <v>31007.880142411919</v>
      </c>
      <c r="S191" s="2" t="s">
        <v>49</v>
      </c>
      <c r="T191" s="2" t="s">
        <v>46</v>
      </c>
    </row>
    <row r="192" spans="1:20" x14ac:dyDescent="0.2">
      <c r="A192" s="2" t="s">
        <v>15</v>
      </c>
      <c r="B192" s="2" t="s">
        <v>51</v>
      </c>
      <c r="C192" s="2" t="s">
        <v>53</v>
      </c>
      <c r="D192" s="3">
        <v>432</v>
      </c>
      <c r="E192" s="3">
        <v>55</v>
      </c>
      <c r="F192" s="2" t="s">
        <v>31</v>
      </c>
      <c r="G192" s="3">
        <v>8.3060000000000009E-2</v>
      </c>
      <c r="H192" s="3">
        <v>4.1878296686151568E-2</v>
      </c>
      <c r="I192" s="3">
        <v>30</v>
      </c>
      <c r="J192" s="3">
        <v>1.0542503245088145E-4</v>
      </c>
      <c r="K192" s="3">
        <v>93.1</v>
      </c>
      <c r="L192" s="3">
        <v>22.561545455339122</v>
      </c>
      <c r="M192" s="3">
        <v>30</v>
      </c>
      <c r="N192" s="3">
        <v>0.89870938340645079</v>
      </c>
      <c r="O192" s="3">
        <v>1.7380310000000001</v>
      </c>
      <c r="P192" s="3">
        <v>3.5002675557803801E-3</v>
      </c>
      <c r="Q192" s="3">
        <f t="shared" si="4"/>
        <v>161810.68610000002</v>
      </c>
      <c r="R192" s="3">
        <f t="shared" si="5"/>
        <v>39212.665409288507</v>
      </c>
      <c r="S192" s="2" t="s">
        <v>49</v>
      </c>
      <c r="T192" s="2" t="s">
        <v>45</v>
      </c>
    </row>
    <row r="193" spans="1:20" x14ac:dyDescent="0.2">
      <c r="A193" s="2" t="s">
        <v>16</v>
      </c>
      <c r="B193" s="2" t="s">
        <v>45</v>
      </c>
      <c r="C193" s="2" t="s">
        <v>53</v>
      </c>
      <c r="D193" s="3">
        <v>432</v>
      </c>
      <c r="E193" s="3">
        <v>55</v>
      </c>
      <c r="F193" s="2" t="s">
        <v>31</v>
      </c>
      <c r="G193" s="3">
        <v>7.9180000000000014E-2</v>
      </c>
      <c r="H193" s="3">
        <v>3.1529778517035818E-2</v>
      </c>
      <c r="I193" s="3">
        <v>30</v>
      </c>
      <c r="J193" s="3">
        <v>1.0542503245088145E-4</v>
      </c>
      <c r="K193" s="3">
        <v>116.03333333333332</v>
      </c>
      <c r="L193" s="3">
        <v>19.833445377834774</v>
      </c>
      <c r="M193" s="3">
        <v>30</v>
      </c>
      <c r="N193" s="3">
        <v>0.89870938340645079</v>
      </c>
      <c r="O193" s="3">
        <v>1.4807189999999999</v>
      </c>
      <c r="P193" s="3">
        <v>3.1526986389899801E-3</v>
      </c>
      <c r="Q193" s="3">
        <f t="shared" si="4"/>
        <v>171812.76129999995</v>
      </c>
      <c r="R193" s="3">
        <f t="shared" si="5"/>
        <v>29367.759406422127</v>
      </c>
      <c r="S193" s="2" t="s">
        <v>49</v>
      </c>
      <c r="T193" s="2" t="s">
        <v>45</v>
      </c>
    </row>
    <row r="194" spans="1:20" x14ac:dyDescent="0.2">
      <c r="A194" s="2" t="s">
        <v>1</v>
      </c>
      <c r="B194" s="2" t="s">
        <v>51</v>
      </c>
      <c r="C194" s="2" t="s">
        <v>53</v>
      </c>
      <c r="D194" s="3">
        <v>443</v>
      </c>
      <c r="E194" s="3">
        <v>61</v>
      </c>
      <c r="F194" s="2" t="s">
        <v>35</v>
      </c>
      <c r="G194" s="3">
        <v>2.4355555555555554E-2</v>
      </c>
      <c r="H194" s="3">
        <v>3.2327357217863603E-2</v>
      </c>
      <c r="I194" s="3">
        <v>30</v>
      </c>
      <c r="J194" s="3">
        <v>8.2493688659928815E-2</v>
      </c>
      <c r="K194" s="3">
        <v>41.533333333333331</v>
      </c>
      <c r="L194" s="3">
        <v>16.33551005903669</v>
      </c>
      <c r="M194" s="3">
        <v>30</v>
      </c>
      <c r="N194" s="3">
        <v>8.6389540669782439E-2</v>
      </c>
      <c r="O194" s="3">
        <v>0.16885939999999999</v>
      </c>
      <c r="P194" s="3">
        <v>3.4772294840625898E-4</v>
      </c>
      <c r="Q194" s="3">
        <f t="shared" si="4"/>
        <v>7013.2937466666654</v>
      </c>
      <c r="R194" s="3">
        <f t="shared" si="5"/>
        <v>2758.4044272628998</v>
      </c>
      <c r="S194" s="2" t="s">
        <v>49</v>
      </c>
      <c r="T194" s="2" t="s">
        <v>45</v>
      </c>
    </row>
    <row r="195" spans="1:20" x14ac:dyDescent="0.2">
      <c r="A195" s="2" t="s">
        <v>2</v>
      </c>
      <c r="B195" s="2" t="s">
        <v>51</v>
      </c>
      <c r="C195" s="2" t="s">
        <v>54</v>
      </c>
      <c r="D195" s="3">
        <v>459</v>
      </c>
      <c r="E195" s="3">
        <v>61</v>
      </c>
      <c r="F195" s="2" t="s">
        <v>35</v>
      </c>
      <c r="G195" s="3">
        <v>4.0773333333333328E-2</v>
      </c>
      <c r="H195" s="3">
        <v>8.9206477094186144E-3</v>
      </c>
      <c r="I195" s="3">
        <v>30</v>
      </c>
      <c r="J195" s="3">
        <v>8.2493688659928815E-2</v>
      </c>
      <c r="K195" s="3">
        <v>136.06666666666666</v>
      </c>
      <c r="L195" s="3">
        <v>10.115774260475018</v>
      </c>
      <c r="M195" s="3">
        <v>30</v>
      </c>
      <c r="N195" s="3">
        <v>8.6389540669782439E-2</v>
      </c>
      <c r="O195" s="3">
        <v>0.20373440000000001</v>
      </c>
      <c r="P195" s="3">
        <v>4.2920997048696602E-4</v>
      </c>
      <c r="Q195" s="3">
        <f t="shared" ref="Q195:Q258" si="6">K195*1000*O195</f>
        <v>27721.460693333334</v>
      </c>
      <c r="R195" s="3">
        <f t="shared" ref="R195:R258" si="7">L195*1000*O195</f>
        <v>2060.9311994933219</v>
      </c>
      <c r="S195" s="2" t="s">
        <v>49</v>
      </c>
      <c r="T195" s="2" t="s">
        <v>45</v>
      </c>
    </row>
    <row r="196" spans="1:20" x14ac:dyDescent="0.2">
      <c r="A196" s="2" t="s">
        <v>3</v>
      </c>
      <c r="B196" s="2" t="s">
        <v>45</v>
      </c>
      <c r="C196" s="2" t="s">
        <v>54</v>
      </c>
      <c r="D196" s="3">
        <v>440</v>
      </c>
      <c r="E196" s="3">
        <v>61</v>
      </c>
      <c r="F196" s="2" t="s">
        <v>35</v>
      </c>
      <c r="G196" s="3">
        <v>1.9860000000000003E-2</v>
      </c>
      <c r="H196" s="3">
        <v>7.3339666393205443E-3</v>
      </c>
      <c r="I196" s="3">
        <v>30</v>
      </c>
      <c r="J196" s="3">
        <v>8.2493688659928815E-2</v>
      </c>
      <c r="K196" s="3">
        <v>141.06666666666666</v>
      </c>
      <c r="L196" s="3">
        <v>8.1646936392140397</v>
      </c>
      <c r="M196" s="3">
        <v>30</v>
      </c>
      <c r="N196" s="3">
        <v>8.6389540669782439E-2</v>
      </c>
      <c r="O196" s="3">
        <v>0.17615629999999999</v>
      </c>
      <c r="P196" s="3">
        <v>3.6549299573696898E-4</v>
      </c>
      <c r="Q196" s="3">
        <f t="shared" si="6"/>
        <v>24849.782053333329</v>
      </c>
      <c r="R196" s="3">
        <f t="shared" si="7"/>
        <v>1438.26222211748</v>
      </c>
      <c r="S196" s="2" t="s">
        <v>49</v>
      </c>
      <c r="T196" s="2" t="s">
        <v>45</v>
      </c>
    </row>
    <row r="197" spans="1:20" x14ac:dyDescent="0.2">
      <c r="A197" s="2" t="s">
        <v>4</v>
      </c>
      <c r="B197" s="2" t="s">
        <v>45</v>
      </c>
      <c r="C197" s="2" t="s">
        <v>53</v>
      </c>
      <c r="D197" s="3">
        <v>440</v>
      </c>
      <c r="E197" s="3">
        <v>61</v>
      </c>
      <c r="F197" s="2" t="s">
        <v>35</v>
      </c>
      <c r="G197" s="3">
        <v>3.1365517241379308E-2</v>
      </c>
      <c r="H197" s="3">
        <v>2.9484037479825788E-2</v>
      </c>
      <c r="I197" s="3">
        <v>30</v>
      </c>
      <c r="J197" s="3">
        <v>8.2493688659928815E-2</v>
      </c>
      <c r="K197" s="3">
        <v>91.066666666666663</v>
      </c>
      <c r="L197" s="3">
        <v>16.568913328546593</v>
      </c>
      <c r="M197" s="3">
        <v>30</v>
      </c>
      <c r="N197" s="3">
        <v>8.6389540669782439E-2</v>
      </c>
      <c r="O197" s="3">
        <v>0.15220310000000001</v>
      </c>
      <c r="P197" s="3">
        <v>3.21810595067187E-4</v>
      </c>
      <c r="Q197" s="3">
        <f t="shared" si="6"/>
        <v>13860.628973333332</v>
      </c>
      <c r="R197" s="3">
        <f t="shared" si="7"/>
        <v>2521.83997223611</v>
      </c>
      <c r="S197" s="2" t="s">
        <v>49</v>
      </c>
      <c r="T197" s="2" t="s">
        <v>45</v>
      </c>
    </row>
    <row r="198" spans="1:20" x14ac:dyDescent="0.2">
      <c r="A198" s="2" t="s">
        <v>5</v>
      </c>
      <c r="B198" s="2" t="s">
        <v>51</v>
      </c>
      <c r="C198" s="2" t="s">
        <v>53</v>
      </c>
      <c r="D198" s="3">
        <v>459</v>
      </c>
      <c r="E198" s="3">
        <v>61</v>
      </c>
      <c r="F198" s="2" t="s">
        <v>35</v>
      </c>
      <c r="G198" s="3">
        <v>1.8396000000000003E-2</v>
      </c>
      <c r="H198" s="3">
        <v>2.3207851774776571E-2</v>
      </c>
      <c r="I198" s="3">
        <v>30</v>
      </c>
      <c r="J198" s="3">
        <v>8.2493688659928815E-2</v>
      </c>
      <c r="K198" s="3">
        <v>40.333333333333336</v>
      </c>
      <c r="L198" s="3">
        <v>17.42667176740553</v>
      </c>
      <c r="M198" s="3">
        <v>30</v>
      </c>
      <c r="N198" s="3">
        <v>8.6389540669782439E-2</v>
      </c>
      <c r="O198" s="3">
        <v>0.16926559999999999</v>
      </c>
      <c r="P198" s="3">
        <v>3.5071672063818698E-4</v>
      </c>
      <c r="Q198" s="3">
        <f t="shared" si="6"/>
        <v>6827.0458666666664</v>
      </c>
      <c r="R198" s="3">
        <f t="shared" si="7"/>
        <v>2949.7360527129572</v>
      </c>
      <c r="S198" s="2" t="s">
        <v>49</v>
      </c>
      <c r="T198" s="2" t="s">
        <v>45</v>
      </c>
    </row>
    <row r="199" spans="1:20" x14ac:dyDescent="0.2">
      <c r="A199" s="2" t="s">
        <v>6</v>
      </c>
      <c r="B199" s="2" t="s">
        <v>45</v>
      </c>
      <c r="C199" s="2" t="s">
        <v>54</v>
      </c>
      <c r="D199" s="3">
        <v>446</v>
      </c>
      <c r="E199" s="3">
        <v>61</v>
      </c>
      <c r="F199" s="2" t="s">
        <v>35</v>
      </c>
      <c r="G199" s="3">
        <v>3.0244827586206897E-2</v>
      </c>
      <c r="H199" s="3">
        <v>3.8230774624882363E-2</v>
      </c>
      <c r="I199" s="3">
        <v>30</v>
      </c>
      <c r="J199" s="3">
        <v>8.2493688659928815E-2</v>
      </c>
      <c r="K199" s="3">
        <v>134.83333333333334</v>
      </c>
      <c r="L199" s="3">
        <v>7.7118235341728498</v>
      </c>
      <c r="M199" s="3">
        <v>30</v>
      </c>
      <c r="N199" s="3">
        <v>8.6389540669782439E-2</v>
      </c>
      <c r="O199" s="3">
        <v>0.1747031</v>
      </c>
      <c r="P199" s="3">
        <v>3.65733687753581E-4</v>
      </c>
      <c r="Q199" s="3">
        <f t="shared" si="6"/>
        <v>23555.801316666668</v>
      </c>
      <c r="R199" s="3">
        <f t="shared" si="7"/>
        <v>1347.2794780729528</v>
      </c>
      <c r="S199" s="2" t="s">
        <v>49</v>
      </c>
      <c r="T199" s="2" t="s">
        <v>45</v>
      </c>
    </row>
    <row r="200" spans="1:20" x14ac:dyDescent="0.2">
      <c r="A200" s="2" t="s">
        <v>7</v>
      </c>
      <c r="B200" s="2" t="s">
        <v>51</v>
      </c>
      <c r="C200" s="2" t="s">
        <v>53</v>
      </c>
      <c r="D200" s="3">
        <v>416</v>
      </c>
      <c r="E200" s="3">
        <v>61</v>
      </c>
      <c r="F200" s="2" t="s">
        <v>35</v>
      </c>
      <c r="G200" s="3">
        <v>9.2020000000000005E-2</v>
      </c>
      <c r="H200" s="3">
        <v>1.6088596375486996E-2</v>
      </c>
      <c r="I200" s="3">
        <v>30</v>
      </c>
      <c r="J200" s="3">
        <v>8.2493688659928815E-2</v>
      </c>
      <c r="K200" s="3">
        <v>152.56666666666666</v>
      </c>
      <c r="L200" s="3">
        <v>13.836385205520823</v>
      </c>
      <c r="M200" s="3">
        <v>30</v>
      </c>
      <c r="N200" s="3">
        <v>8.6389540669782439E-2</v>
      </c>
      <c r="O200" s="3">
        <v>0.16276560000000001</v>
      </c>
      <c r="P200" s="3">
        <v>3.30573076221744E-4</v>
      </c>
      <c r="Q200" s="3">
        <f t="shared" si="6"/>
        <v>24832.605039999999</v>
      </c>
      <c r="R200" s="3">
        <f t="shared" si="7"/>
        <v>2252.0875398077201</v>
      </c>
      <c r="S200" s="2" t="s">
        <v>49</v>
      </c>
      <c r="T200" s="2" t="s">
        <v>46</v>
      </c>
    </row>
    <row r="201" spans="1:20" x14ac:dyDescent="0.2">
      <c r="A201" s="2" t="s">
        <v>8</v>
      </c>
      <c r="B201" s="2" t="s">
        <v>45</v>
      </c>
      <c r="C201" s="2" t="s">
        <v>54</v>
      </c>
      <c r="D201" s="3">
        <v>494</v>
      </c>
      <c r="E201" s="3">
        <v>61</v>
      </c>
      <c r="F201" s="2" t="s">
        <v>35</v>
      </c>
      <c r="G201" s="3">
        <v>4.1886666666666669E-2</v>
      </c>
      <c r="H201" s="3">
        <v>3.3692281344875147E-2</v>
      </c>
      <c r="I201" s="3">
        <v>30</v>
      </c>
      <c r="J201" s="3">
        <v>8.2493688659928815E-2</v>
      </c>
      <c r="K201" s="3">
        <v>126.26666666666668</v>
      </c>
      <c r="L201" s="3">
        <v>8.04956865649058</v>
      </c>
      <c r="M201" s="3">
        <v>30</v>
      </c>
      <c r="N201" s="3">
        <v>8.6389540669782439E-2</v>
      </c>
      <c r="O201" s="3">
        <v>0.18087500000000001</v>
      </c>
      <c r="P201" s="3">
        <v>3.7462946981542302E-4</v>
      </c>
      <c r="Q201" s="3">
        <f t="shared" si="6"/>
        <v>22838.483333333337</v>
      </c>
      <c r="R201" s="3">
        <f t="shared" si="7"/>
        <v>1455.9657307427337</v>
      </c>
      <c r="S201" s="2" t="s">
        <v>49</v>
      </c>
      <c r="T201" s="2" t="s">
        <v>45</v>
      </c>
    </row>
    <row r="202" spans="1:20" x14ac:dyDescent="0.2">
      <c r="A202" s="2" t="s">
        <v>9</v>
      </c>
      <c r="B202" s="2" t="s">
        <v>51</v>
      </c>
      <c r="C202" s="2" t="s">
        <v>53</v>
      </c>
      <c r="D202" s="3">
        <v>480</v>
      </c>
      <c r="E202" s="3">
        <v>61</v>
      </c>
      <c r="F202" s="2" t="s">
        <v>35</v>
      </c>
      <c r="G202" s="3">
        <v>4.3933333333333338E-2</v>
      </c>
      <c r="H202" s="3">
        <v>3.8252837222297061E-2</v>
      </c>
      <c r="I202" s="3">
        <v>30</v>
      </c>
      <c r="J202" s="3">
        <v>8.2493688659928815E-2</v>
      </c>
      <c r="K202" s="3">
        <v>36.533333333333331</v>
      </c>
      <c r="L202" s="3">
        <v>11.957517393766244</v>
      </c>
      <c r="M202" s="3">
        <v>30</v>
      </c>
      <c r="N202" s="3">
        <v>8.6389540669782439E-2</v>
      </c>
      <c r="O202" s="3">
        <v>0.15007809999999999</v>
      </c>
      <c r="P202" s="3">
        <v>3.1569266185718902E-4</v>
      </c>
      <c r="Q202" s="3">
        <f t="shared" si="6"/>
        <v>5482.8532533333328</v>
      </c>
      <c r="R202" s="3">
        <f t="shared" si="7"/>
        <v>1794.5614911733896</v>
      </c>
      <c r="S202" s="2" t="s">
        <v>49</v>
      </c>
      <c r="T202" s="2" t="s">
        <v>45</v>
      </c>
    </row>
    <row r="203" spans="1:20" x14ac:dyDescent="0.2">
      <c r="A203" s="2" t="s">
        <v>10</v>
      </c>
      <c r="B203" s="2" t="s">
        <v>45</v>
      </c>
      <c r="C203" s="2" t="s">
        <v>54</v>
      </c>
      <c r="D203" s="3">
        <v>480</v>
      </c>
      <c r="E203" s="3">
        <v>61</v>
      </c>
      <c r="F203" s="2" t="s">
        <v>35</v>
      </c>
      <c r="G203" s="3">
        <v>1.6784E-2</v>
      </c>
      <c r="H203" s="3">
        <v>2.5555284071987931E-2</v>
      </c>
      <c r="I203" s="3">
        <v>30</v>
      </c>
      <c r="J203" s="3">
        <v>8.2493688659928815E-2</v>
      </c>
      <c r="K203" s="3">
        <v>117</v>
      </c>
      <c r="L203" s="3">
        <v>13.261473020244267</v>
      </c>
      <c r="M203" s="3">
        <v>30</v>
      </c>
      <c r="N203" s="3">
        <v>8.6389540669782439E-2</v>
      </c>
      <c r="O203" s="3">
        <v>0.18123439999999999</v>
      </c>
      <c r="P203" s="3">
        <v>3.9291658495515001E-4</v>
      </c>
      <c r="Q203" s="3">
        <f t="shared" si="6"/>
        <v>21204.424799999997</v>
      </c>
      <c r="R203" s="3">
        <f t="shared" si="7"/>
        <v>2403.4351059401574</v>
      </c>
      <c r="S203" s="2" t="s">
        <v>49</v>
      </c>
      <c r="T203" s="2" t="s">
        <v>45</v>
      </c>
    </row>
    <row r="204" spans="1:20" x14ac:dyDescent="0.2">
      <c r="A204" s="2" t="s">
        <v>11</v>
      </c>
      <c r="B204" s="2" t="s">
        <v>45</v>
      </c>
      <c r="C204" s="2" t="s">
        <v>53</v>
      </c>
      <c r="D204" s="3">
        <v>480</v>
      </c>
      <c r="E204" s="3">
        <v>61</v>
      </c>
      <c r="F204" s="2" t="s">
        <v>35</v>
      </c>
      <c r="G204" s="3">
        <v>2.5079999999999998E-2</v>
      </c>
      <c r="H204" s="3">
        <v>3.3147512727201719E-2</v>
      </c>
      <c r="I204" s="3">
        <v>30</v>
      </c>
      <c r="J204" s="3">
        <v>8.2493688659928815E-2</v>
      </c>
      <c r="K204" s="3">
        <v>92.8</v>
      </c>
      <c r="L204" s="3">
        <v>15.289211882893117</v>
      </c>
      <c r="M204" s="3">
        <v>30</v>
      </c>
      <c r="N204" s="3">
        <v>8.6389540669782439E-2</v>
      </c>
      <c r="O204" s="3">
        <v>0.15820310000000001</v>
      </c>
      <c r="P204" s="3">
        <v>3.41781093877876E-4</v>
      </c>
      <c r="Q204" s="3">
        <f t="shared" si="6"/>
        <v>14681.24768</v>
      </c>
      <c r="R204" s="3">
        <f t="shared" si="7"/>
        <v>2418.8007164305282</v>
      </c>
      <c r="S204" s="2" t="s">
        <v>49</v>
      </c>
      <c r="T204" s="2" t="s">
        <v>45</v>
      </c>
    </row>
    <row r="205" spans="1:20" x14ac:dyDescent="0.2">
      <c r="A205" s="2" t="s">
        <v>12</v>
      </c>
      <c r="B205" s="2" t="s">
        <v>51</v>
      </c>
      <c r="C205" s="2" t="s">
        <v>54</v>
      </c>
      <c r="D205" s="3">
        <v>416</v>
      </c>
      <c r="E205" s="3">
        <v>61</v>
      </c>
      <c r="F205" s="2" t="s">
        <v>35</v>
      </c>
      <c r="G205" s="3">
        <v>2.4450000000000003E-2</v>
      </c>
      <c r="H205" s="3">
        <v>1.0733584365594436E-2</v>
      </c>
      <c r="I205" s="3">
        <v>30</v>
      </c>
      <c r="J205" s="3">
        <v>8.2493688659928815E-2</v>
      </c>
      <c r="K205" s="3">
        <v>142.30000000000001</v>
      </c>
      <c r="L205" s="3">
        <v>8.6145226217127089</v>
      </c>
      <c r="M205" s="3">
        <v>30</v>
      </c>
      <c r="N205" s="3">
        <v>8.6389540669782439E-2</v>
      </c>
      <c r="O205" s="3">
        <v>0.18984380000000001</v>
      </c>
      <c r="P205" s="3">
        <v>3.7642060783478498E-4</v>
      </c>
      <c r="Q205" s="3">
        <f t="shared" si="6"/>
        <v>27014.77274</v>
      </c>
      <c r="R205" s="3">
        <f t="shared" si="7"/>
        <v>1635.4137096919033</v>
      </c>
      <c r="S205" s="2" t="s">
        <v>49</v>
      </c>
      <c r="T205" s="2" t="s">
        <v>46</v>
      </c>
    </row>
    <row r="206" spans="1:20" x14ac:dyDescent="0.2">
      <c r="A206" s="2" t="s">
        <v>13</v>
      </c>
      <c r="B206" s="2" t="s">
        <v>45</v>
      </c>
      <c r="C206" s="2" t="s">
        <v>54</v>
      </c>
      <c r="D206" s="3">
        <v>416</v>
      </c>
      <c r="E206" s="3">
        <v>61</v>
      </c>
      <c r="F206" s="2" t="s">
        <v>35</v>
      </c>
      <c r="G206" s="3">
        <v>2.0566666666666671E-2</v>
      </c>
      <c r="H206" s="3">
        <v>7.7362494501893838E-3</v>
      </c>
      <c r="I206" s="3">
        <v>30</v>
      </c>
      <c r="J206" s="3">
        <v>8.2493688659928815E-2</v>
      </c>
      <c r="K206" s="3">
        <v>133.69999999999999</v>
      </c>
      <c r="L206" s="3">
        <v>8.8887569434651539</v>
      </c>
      <c r="M206" s="3">
        <v>30</v>
      </c>
      <c r="N206" s="3">
        <v>8.6389540669782439E-2</v>
      </c>
      <c r="O206" s="3">
        <v>0.18621879999999999</v>
      </c>
      <c r="P206" s="3">
        <v>3.66178843336165E-4</v>
      </c>
      <c r="Q206" s="3">
        <f t="shared" si="6"/>
        <v>24897.453559999998</v>
      </c>
      <c r="R206" s="3">
        <f t="shared" si="7"/>
        <v>1655.2536515037486</v>
      </c>
      <c r="S206" s="2" t="s">
        <v>49</v>
      </c>
      <c r="T206" s="2" t="s">
        <v>46</v>
      </c>
    </row>
    <row r="207" spans="1:20" x14ac:dyDescent="0.2">
      <c r="A207" s="2" t="s">
        <v>14</v>
      </c>
      <c r="B207" s="2" t="s">
        <v>45</v>
      </c>
      <c r="C207" s="2" t="s">
        <v>53</v>
      </c>
      <c r="D207" s="3">
        <v>416</v>
      </c>
      <c r="E207" s="3">
        <v>61</v>
      </c>
      <c r="F207" s="2" t="s">
        <v>35</v>
      </c>
      <c r="G207" s="3">
        <v>7.0333333333333331E-2</v>
      </c>
      <c r="H207" s="3">
        <v>9.7450614273190805E-3</v>
      </c>
      <c r="I207" s="3">
        <v>30</v>
      </c>
      <c r="J207" s="3">
        <v>8.2493688659928815E-2</v>
      </c>
      <c r="K207" s="3">
        <v>146.26666666666668</v>
      </c>
      <c r="L207" s="3">
        <v>6.3505030421919244</v>
      </c>
      <c r="M207" s="3">
        <v>30</v>
      </c>
      <c r="N207" s="3">
        <v>8.6389540669782439E-2</v>
      </c>
      <c r="O207" s="3">
        <v>0.15212500000000001</v>
      </c>
      <c r="P207" s="3">
        <v>3.1020499882961501E-4</v>
      </c>
      <c r="Q207" s="3">
        <f t="shared" si="6"/>
        <v>22250.816666666669</v>
      </c>
      <c r="R207" s="3">
        <f t="shared" si="7"/>
        <v>966.07027529344657</v>
      </c>
      <c r="S207" s="2" t="s">
        <v>49</v>
      </c>
      <c r="T207" s="2" t="s">
        <v>46</v>
      </c>
    </row>
    <row r="208" spans="1:20" x14ac:dyDescent="0.2">
      <c r="A208" s="2" t="s">
        <v>15</v>
      </c>
      <c r="B208" s="2" t="s">
        <v>51</v>
      </c>
      <c r="C208" s="2" t="s">
        <v>53</v>
      </c>
      <c r="D208" s="3">
        <v>432</v>
      </c>
      <c r="E208" s="3">
        <v>61</v>
      </c>
      <c r="F208" s="2" t="s">
        <v>35</v>
      </c>
      <c r="G208" s="3">
        <v>4.8439999999999997E-2</v>
      </c>
      <c r="H208" s="3">
        <v>2.0837331882945089E-2</v>
      </c>
      <c r="I208" s="3">
        <v>30</v>
      </c>
      <c r="J208" s="3">
        <v>8.2493688659928815E-2</v>
      </c>
      <c r="K208" s="3">
        <v>131.73333333333332</v>
      </c>
      <c r="L208" s="3">
        <v>26.321009774618364</v>
      </c>
      <c r="M208" s="3">
        <v>30</v>
      </c>
      <c r="N208" s="3">
        <v>8.6389540669782439E-2</v>
      </c>
      <c r="O208" s="3">
        <v>0.15778130000000001</v>
      </c>
      <c r="P208" s="3">
        <v>3.1776001998747499E-4</v>
      </c>
      <c r="Q208" s="3">
        <f t="shared" si="6"/>
        <v>20785.056586666666</v>
      </c>
      <c r="R208" s="3">
        <f t="shared" si="7"/>
        <v>4152.9631395519928</v>
      </c>
      <c r="S208" s="2" t="s">
        <v>49</v>
      </c>
      <c r="T208" s="2" t="s">
        <v>45</v>
      </c>
    </row>
    <row r="209" spans="1:20" x14ac:dyDescent="0.2">
      <c r="A209" s="2" t="s">
        <v>16</v>
      </c>
      <c r="B209" s="2" t="s">
        <v>45</v>
      </c>
      <c r="C209" s="2" t="s">
        <v>53</v>
      </c>
      <c r="D209" s="3">
        <v>432</v>
      </c>
      <c r="E209" s="3">
        <v>61</v>
      </c>
      <c r="F209" s="2" t="s">
        <v>35</v>
      </c>
      <c r="G209" s="3">
        <v>6.6443333333333326E-2</v>
      </c>
      <c r="H209" s="3">
        <v>1.3102739747430264E-2</v>
      </c>
      <c r="I209" s="3">
        <v>30</v>
      </c>
      <c r="J209" s="3">
        <v>8.2493688659928815E-2</v>
      </c>
      <c r="K209" s="3">
        <v>149.13333333333333</v>
      </c>
      <c r="L209" s="3">
        <v>6.7068787242816787</v>
      </c>
      <c r="M209" s="3">
        <v>30</v>
      </c>
      <c r="N209" s="3">
        <v>8.6389540669782439E-2</v>
      </c>
      <c r="O209" s="3">
        <v>0.1644844</v>
      </c>
      <c r="P209" s="3">
        <v>3.5021482402473598E-4</v>
      </c>
      <c r="Q209" s="3">
        <f t="shared" si="6"/>
        <v>24530.106853333331</v>
      </c>
      <c r="R209" s="3">
        <f t="shared" si="7"/>
        <v>1103.1769228362373</v>
      </c>
      <c r="S209" s="2" t="s">
        <v>49</v>
      </c>
      <c r="T209" s="2" t="s">
        <v>45</v>
      </c>
    </row>
    <row r="210" spans="1:20" x14ac:dyDescent="0.2">
      <c r="A210" s="2" t="s">
        <v>1</v>
      </c>
      <c r="B210" s="2" t="s">
        <v>51</v>
      </c>
      <c r="C210" s="2" t="s">
        <v>53</v>
      </c>
      <c r="D210" s="3">
        <v>443</v>
      </c>
      <c r="E210" s="3">
        <v>74</v>
      </c>
      <c r="F210" s="2" t="s">
        <v>37</v>
      </c>
      <c r="G210" s="3">
        <v>4.8456666666666662E-2</v>
      </c>
      <c r="H210" s="3">
        <v>1.7800349871717566E-2</v>
      </c>
      <c r="I210" s="3">
        <v>30</v>
      </c>
      <c r="J210" s="3">
        <v>7.1128849871391125E-3</v>
      </c>
      <c r="K210" s="3">
        <v>57.033333333333331</v>
      </c>
      <c r="L210" s="3">
        <v>11.878505330591423</v>
      </c>
      <c r="M210" s="3">
        <v>30</v>
      </c>
      <c r="N210" s="3">
        <v>0.32393004336541198</v>
      </c>
      <c r="O210" s="3">
        <v>0.20957809999999999</v>
      </c>
      <c r="P210" s="3">
        <v>4.3157274545202598E-4</v>
      </c>
      <c r="Q210" s="3">
        <f t="shared" si="6"/>
        <v>11952.937636666666</v>
      </c>
      <c r="R210" s="3">
        <f t="shared" si="7"/>
        <v>2489.4745780252219</v>
      </c>
      <c r="S210" s="2" t="s">
        <v>49</v>
      </c>
      <c r="T210" s="2" t="s">
        <v>45</v>
      </c>
    </row>
    <row r="211" spans="1:20" x14ac:dyDescent="0.2">
      <c r="A211" s="2" t="s">
        <v>2</v>
      </c>
      <c r="B211" s="2" t="s">
        <v>51</v>
      </c>
      <c r="C211" s="2" t="s">
        <v>54</v>
      </c>
      <c r="D211" s="3">
        <v>459</v>
      </c>
      <c r="E211" s="3">
        <v>74</v>
      </c>
      <c r="F211" s="2" t="s">
        <v>37</v>
      </c>
      <c r="G211" s="3">
        <v>4.200333333333333E-2</v>
      </c>
      <c r="H211" s="3">
        <v>2.2078518720441569E-2</v>
      </c>
      <c r="I211" s="3">
        <v>30</v>
      </c>
      <c r="J211" s="3">
        <v>7.1128849871391125E-3</v>
      </c>
      <c r="K211" s="3">
        <v>96.4</v>
      </c>
      <c r="L211" s="3">
        <v>14.650597257449951</v>
      </c>
      <c r="M211" s="3">
        <v>30</v>
      </c>
      <c r="N211" s="3">
        <v>0.32393004336541198</v>
      </c>
      <c r="O211" s="3">
        <v>0.2159375</v>
      </c>
      <c r="P211" s="3">
        <v>4.5491840357852797E-4</v>
      </c>
      <c r="Q211" s="3">
        <f t="shared" si="6"/>
        <v>20816.375</v>
      </c>
      <c r="R211" s="3">
        <f t="shared" si="7"/>
        <v>3163.6133452805989</v>
      </c>
      <c r="S211" s="2" t="s">
        <v>49</v>
      </c>
      <c r="T211" s="2" t="s">
        <v>45</v>
      </c>
    </row>
    <row r="212" spans="1:20" x14ac:dyDescent="0.2">
      <c r="A212" s="2" t="s">
        <v>3</v>
      </c>
      <c r="B212" s="2" t="s">
        <v>45</v>
      </c>
      <c r="C212" s="2" t="s">
        <v>54</v>
      </c>
      <c r="D212" s="3">
        <v>440</v>
      </c>
      <c r="E212" s="3">
        <v>74</v>
      </c>
      <c r="F212" s="2" t="s">
        <v>37</v>
      </c>
      <c r="G212" s="3">
        <v>1.6846666666666666E-2</v>
      </c>
      <c r="H212" s="3">
        <v>9.0070244192457308E-3</v>
      </c>
      <c r="I212" s="3">
        <v>30</v>
      </c>
      <c r="J212" s="3">
        <v>7.1128849871391125E-3</v>
      </c>
      <c r="K212" s="3">
        <v>96.13333333333334</v>
      </c>
      <c r="L212" s="3">
        <v>10.496771990579877</v>
      </c>
      <c r="M212" s="3">
        <v>30</v>
      </c>
      <c r="N212" s="3">
        <v>0.32393004336541198</v>
      </c>
      <c r="O212" s="3">
        <v>0.2139375</v>
      </c>
      <c r="P212" s="3">
        <v>4.4388226691567602E-4</v>
      </c>
      <c r="Q212" s="3">
        <f t="shared" si="6"/>
        <v>20566.525000000001</v>
      </c>
      <c r="R212" s="3">
        <f t="shared" si="7"/>
        <v>2245.6531577346823</v>
      </c>
      <c r="S212" s="2" t="s">
        <v>49</v>
      </c>
      <c r="T212" s="2" t="s">
        <v>45</v>
      </c>
    </row>
    <row r="213" spans="1:20" x14ac:dyDescent="0.2">
      <c r="A213" s="2" t="s">
        <v>4</v>
      </c>
      <c r="B213" s="2" t="s">
        <v>45</v>
      </c>
      <c r="C213" s="2" t="s">
        <v>53</v>
      </c>
      <c r="D213" s="3">
        <v>440</v>
      </c>
      <c r="E213" s="3">
        <v>74</v>
      </c>
      <c r="F213" s="2" t="s">
        <v>37</v>
      </c>
      <c r="G213" s="3">
        <v>3.3043333333333334E-2</v>
      </c>
      <c r="H213" s="3">
        <v>2.1112266313422841E-2</v>
      </c>
      <c r="I213" s="3">
        <v>30</v>
      </c>
      <c r="J213" s="3">
        <v>7.1128849871391125E-3</v>
      </c>
      <c r="K213" s="3">
        <v>47.966666666666669</v>
      </c>
      <c r="L213" s="3">
        <v>11.611727787983243</v>
      </c>
      <c r="M213" s="3">
        <v>30</v>
      </c>
      <c r="N213" s="3">
        <v>0.32393004336541198</v>
      </c>
      <c r="O213" s="3">
        <v>0.20151559999999999</v>
      </c>
      <c r="P213" s="3">
        <v>4.2607446991106798E-4</v>
      </c>
      <c r="Q213" s="3">
        <f t="shared" si="6"/>
        <v>9666.0316133333345</v>
      </c>
      <c r="R213" s="3">
        <f t="shared" si="7"/>
        <v>2339.9442922321159</v>
      </c>
      <c r="S213" s="2" t="s">
        <v>49</v>
      </c>
      <c r="T213" s="2" t="s">
        <v>45</v>
      </c>
    </row>
    <row r="214" spans="1:20" x14ac:dyDescent="0.2">
      <c r="A214" s="2" t="s">
        <v>5</v>
      </c>
      <c r="B214" s="2" t="s">
        <v>51</v>
      </c>
      <c r="C214" s="2" t="s">
        <v>53</v>
      </c>
      <c r="D214" s="3">
        <v>459</v>
      </c>
      <c r="E214" s="3">
        <v>74</v>
      </c>
      <c r="F214" s="2" t="s">
        <v>37</v>
      </c>
      <c r="G214" s="3">
        <v>4.7880000000000013E-2</v>
      </c>
      <c r="H214" s="3">
        <v>2.9977762869611648E-2</v>
      </c>
      <c r="I214" s="3">
        <v>30</v>
      </c>
      <c r="J214" s="3">
        <v>7.1128849871391125E-3</v>
      </c>
      <c r="K214" s="3">
        <v>58.5</v>
      </c>
      <c r="L214" s="3">
        <v>15.149807479524837</v>
      </c>
      <c r="M214" s="3">
        <v>30</v>
      </c>
      <c r="N214" s="3">
        <v>0.32393004336541198</v>
      </c>
      <c r="O214" s="3">
        <v>0.18282809999999999</v>
      </c>
      <c r="P214" s="3">
        <v>3.7881809223203403E-4</v>
      </c>
      <c r="Q214" s="3">
        <f t="shared" si="6"/>
        <v>10695.44385</v>
      </c>
      <c r="R214" s="3">
        <f t="shared" si="7"/>
        <v>2769.8105168473148</v>
      </c>
      <c r="S214" s="2" t="s">
        <v>49</v>
      </c>
      <c r="T214" s="2" t="s">
        <v>45</v>
      </c>
    </row>
    <row r="215" spans="1:20" x14ac:dyDescent="0.2">
      <c r="A215" s="2" t="s">
        <v>6</v>
      </c>
      <c r="B215" s="2" t="s">
        <v>45</v>
      </c>
      <c r="C215" s="2" t="s">
        <v>54</v>
      </c>
      <c r="D215" s="3">
        <v>446</v>
      </c>
      <c r="E215" s="3">
        <v>74</v>
      </c>
      <c r="F215" s="2" t="s">
        <v>37</v>
      </c>
      <c r="G215" s="3">
        <v>3.580666666666666E-2</v>
      </c>
      <c r="H215" s="3">
        <v>3.4123422389255677E-2</v>
      </c>
      <c r="I215" s="3">
        <v>30</v>
      </c>
      <c r="J215" s="3">
        <v>7.1128849871391125E-3</v>
      </c>
      <c r="K215" s="3">
        <v>80.333333333333329</v>
      </c>
      <c r="L215" s="3">
        <v>12.52819043419901</v>
      </c>
      <c r="M215" s="3">
        <v>30</v>
      </c>
      <c r="N215" s="3">
        <v>0.32393004336541198</v>
      </c>
      <c r="O215" s="3">
        <v>0.22690630000000001</v>
      </c>
      <c r="P215" s="3">
        <v>4.7501891994772998E-4</v>
      </c>
      <c r="Q215" s="3">
        <f t="shared" si="6"/>
        <v>18228.139433333334</v>
      </c>
      <c r="R215" s="3">
        <f t="shared" si="7"/>
        <v>2842.7253371194911</v>
      </c>
      <c r="S215" s="2" t="s">
        <v>49</v>
      </c>
      <c r="T215" s="2" t="s">
        <v>45</v>
      </c>
    </row>
    <row r="216" spans="1:20" x14ac:dyDescent="0.2">
      <c r="A216" s="2" t="s">
        <v>7</v>
      </c>
      <c r="B216" s="2" t="s">
        <v>51</v>
      </c>
      <c r="C216" s="2" t="s">
        <v>53</v>
      </c>
      <c r="D216" s="3">
        <v>416</v>
      </c>
      <c r="E216" s="3">
        <v>74</v>
      </c>
      <c r="F216" s="2" t="s">
        <v>37</v>
      </c>
      <c r="G216" s="3">
        <v>0.11113000000000001</v>
      </c>
      <c r="H216" s="3">
        <v>2.6841251212763286E-2</v>
      </c>
      <c r="I216" s="3">
        <v>30</v>
      </c>
      <c r="J216" s="3">
        <v>7.1128849871391125E-3</v>
      </c>
      <c r="K216" s="3">
        <v>98.63333333333334</v>
      </c>
      <c r="L216" s="3">
        <v>13.556015474893631</v>
      </c>
      <c r="M216" s="3">
        <v>30</v>
      </c>
      <c r="N216" s="3">
        <v>0.32393004336541198</v>
      </c>
      <c r="O216" s="3">
        <v>0.19153129999999999</v>
      </c>
      <c r="P216" s="3">
        <v>3.88995531204074E-4</v>
      </c>
      <c r="Q216" s="3">
        <f t="shared" si="6"/>
        <v>18891.370556666669</v>
      </c>
      <c r="R216" s="3">
        <f t="shared" si="7"/>
        <v>2596.4012667264942</v>
      </c>
      <c r="S216" s="2" t="s">
        <v>49</v>
      </c>
      <c r="T216" s="2" t="s">
        <v>46</v>
      </c>
    </row>
    <row r="217" spans="1:20" x14ac:dyDescent="0.2">
      <c r="A217" s="2" t="s">
        <v>8</v>
      </c>
      <c r="B217" s="2" t="s">
        <v>45</v>
      </c>
      <c r="C217" s="2" t="s">
        <v>54</v>
      </c>
      <c r="D217" s="3">
        <v>494</v>
      </c>
      <c r="E217" s="3">
        <v>74</v>
      </c>
      <c r="F217" s="2" t="s">
        <v>37</v>
      </c>
      <c r="G217" s="3">
        <v>2.6780769230769226E-2</v>
      </c>
      <c r="H217" s="3">
        <v>3.1583698561012438E-2</v>
      </c>
      <c r="I217" s="3">
        <v>30</v>
      </c>
      <c r="J217" s="3">
        <v>7.1128849871391125E-3</v>
      </c>
      <c r="K217" s="3">
        <v>64</v>
      </c>
      <c r="L217" s="3">
        <v>15.511286213592991</v>
      </c>
      <c r="M217" s="3">
        <v>30</v>
      </c>
      <c r="N217" s="3">
        <v>0.32393004336541198</v>
      </c>
      <c r="O217" s="3">
        <v>0.2237344</v>
      </c>
      <c r="P217" s="3">
        <v>4.6340013629010002E-4</v>
      </c>
      <c r="Q217" s="3">
        <f t="shared" si="6"/>
        <v>14319.0016</v>
      </c>
      <c r="R217" s="3">
        <f t="shared" si="7"/>
        <v>3470.4083142264994</v>
      </c>
      <c r="S217" s="2" t="s">
        <v>49</v>
      </c>
      <c r="T217" s="2" t="s">
        <v>45</v>
      </c>
    </row>
    <row r="218" spans="1:20" x14ac:dyDescent="0.2">
      <c r="A218" s="2" t="s">
        <v>9</v>
      </c>
      <c r="B218" s="2" t="s">
        <v>51</v>
      </c>
      <c r="C218" s="2" t="s">
        <v>53</v>
      </c>
      <c r="D218" s="3">
        <v>480</v>
      </c>
      <c r="E218" s="3">
        <v>74</v>
      </c>
      <c r="F218" s="2" t="s">
        <v>37</v>
      </c>
      <c r="G218" s="3">
        <v>3.9906896551724129E-2</v>
      </c>
      <c r="H218" s="3">
        <v>3.3383145975120369E-2</v>
      </c>
      <c r="I218" s="3">
        <v>30</v>
      </c>
      <c r="J218" s="3">
        <v>7.1128849871391125E-3</v>
      </c>
      <c r="K218" s="3">
        <v>41.633333333333333</v>
      </c>
      <c r="L218" s="3">
        <v>18.403773767596928</v>
      </c>
      <c r="M218" s="3">
        <v>30</v>
      </c>
      <c r="N218" s="3">
        <v>0.32393004336541198</v>
      </c>
      <c r="O218" s="3">
        <v>0.17754690000000001</v>
      </c>
      <c r="P218" s="3">
        <v>3.7347390102548099E-4</v>
      </c>
      <c r="Q218" s="3">
        <f t="shared" si="6"/>
        <v>7391.8692700000011</v>
      </c>
      <c r="R218" s="3">
        <f t="shared" si="7"/>
        <v>3267.5329807381554</v>
      </c>
      <c r="S218" s="2" t="s">
        <v>49</v>
      </c>
      <c r="T218" s="2" t="s">
        <v>45</v>
      </c>
    </row>
    <row r="219" spans="1:20" x14ac:dyDescent="0.2">
      <c r="A219" s="2" t="s">
        <v>10</v>
      </c>
      <c r="B219" s="2" t="s">
        <v>45</v>
      </c>
      <c r="C219" s="2" t="s">
        <v>54</v>
      </c>
      <c r="D219" s="3">
        <v>480</v>
      </c>
      <c r="E219" s="3">
        <v>74</v>
      </c>
      <c r="F219" s="2" t="s">
        <v>37</v>
      </c>
      <c r="G219" s="3">
        <v>1.1154545454545455E-2</v>
      </c>
      <c r="H219" s="3">
        <v>1.7868680758973667E-2</v>
      </c>
      <c r="I219" s="3">
        <v>30</v>
      </c>
      <c r="J219" s="3">
        <v>7.1128849871391125E-3</v>
      </c>
      <c r="K219" s="3">
        <v>63.3</v>
      </c>
      <c r="L219" s="3">
        <v>12.657408897558774</v>
      </c>
      <c r="M219" s="3">
        <v>30</v>
      </c>
      <c r="N219" s="3">
        <v>0.32393004336541198</v>
      </c>
      <c r="O219" s="3">
        <v>0.2093594</v>
      </c>
      <c r="P219" s="3">
        <v>4.5389164792257599E-4</v>
      </c>
      <c r="Q219" s="3">
        <f t="shared" si="6"/>
        <v>13252.45002</v>
      </c>
      <c r="R219" s="3">
        <f t="shared" si="7"/>
        <v>2649.9475323475667</v>
      </c>
      <c r="S219" s="2" t="s">
        <v>49</v>
      </c>
      <c r="T219" s="2" t="s">
        <v>45</v>
      </c>
    </row>
    <row r="220" spans="1:20" x14ac:dyDescent="0.2">
      <c r="A220" s="2" t="s">
        <v>11</v>
      </c>
      <c r="B220" s="2" t="s">
        <v>45</v>
      </c>
      <c r="C220" s="2" t="s">
        <v>53</v>
      </c>
      <c r="D220" s="3">
        <v>480</v>
      </c>
      <c r="E220" s="3">
        <v>74</v>
      </c>
      <c r="F220" s="2" t="s">
        <v>37</v>
      </c>
      <c r="G220" s="3">
        <v>3.7233333333333334E-2</v>
      </c>
      <c r="H220" s="3">
        <v>2.4120203610712369E-2</v>
      </c>
      <c r="I220" s="3">
        <v>30</v>
      </c>
      <c r="J220" s="3">
        <v>7.1128849871391125E-3</v>
      </c>
      <c r="K220" s="3">
        <v>41.533333333333331</v>
      </c>
      <c r="L220" s="3">
        <v>13.975534177825031</v>
      </c>
      <c r="M220" s="3">
        <v>30</v>
      </c>
      <c r="N220" s="3">
        <v>0.32393004336541198</v>
      </c>
      <c r="O220" s="3">
        <v>0.1977188</v>
      </c>
      <c r="P220" s="3">
        <v>4.2715059151319297E-4</v>
      </c>
      <c r="Q220" s="3">
        <f t="shared" si="6"/>
        <v>8211.9208266666665</v>
      </c>
      <c r="R220" s="3">
        <f t="shared" si="7"/>
        <v>2763.2258469985518</v>
      </c>
      <c r="S220" s="2" t="s">
        <v>49</v>
      </c>
      <c r="T220" s="2" t="s">
        <v>45</v>
      </c>
    </row>
    <row r="221" spans="1:20" x14ac:dyDescent="0.2">
      <c r="A221" s="2" t="s">
        <v>12</v>
      </c>
      <c r="B221" s="2" t="s">
        <v>51</v>
      </c>
      <c r="C221" s="2" t="s">
        <v>54</v>
      </c>
      <c r="D221" s="3">
        <v>416</v>
      </c>
      <c r="E221" s="3">
        <v>74</v>
      </c>
      <c r="F221" s="2" t="s">
        <v>37</v>
      </c>
      <c r="G221" s="3">
        <v>3.1723333333333333E-2</v>
      </c>
      <c r="H221" s="3">
        <v>1.0455068414675993E-2</v>
      </c>
      <c r="I221" s="3">
        <v>30</v>
      </c>
      <c r="J221" s="3">
        <v>7.1128849871391125E-3</v>
      </c>
      <c r="K221" s="3">
        <v>79.63333333333334</v>
      </c>
      <c r="L221" s="3">
        <v>23.805438220895848</v>
      </c>
      <c r="M221" s="3">
        <v>30</v>
      </c>
      <c r="N221" s="3">
        <v>0.32393004336541198</v>
      </c>
      <c r="O221" s="3">
        <v>0.23474999999999999</v>
      </c>
      <c r="P221" s="3">
        <v>4.6546022408535802E-4</v>
      </c>
      <c r="Q221" s="3">
        <f t="shared" si="6"/>
        <v>18693.925000000003</v>
      </c>
      <c r="R221" s="3">
        <f t="shared" si="7"/>
        <v>5588.3266223553001</v>
      </c>
      <c r="S221" s="2" t="s">
        <v>49</v>
      </c>
      <c r="T221" s="2" t="s">
        <v>46</v>
      </c>
    </row>
    <row r="222" spans="1:20" x14ac:dyDescent="0.2">
      <c r="A222" s="2" t="s">
        <v>13</v>
      </c>
      <c r="B222" s="2" t="s">
        <v>45</v>
      </c>
      <c r="C222" s="2" t="s">
        <v>54</v>
      </c>
      <c r="D222" s="3">
        <v>416</v>
      </c>
      <c r="E222" s="3">
        <v>74</v>
      </c>
      <c r="F222" s="2" t="s">
        <v>37</v>
      </c>
      <c r="G222" s="3">
        <v>2.9223333333333334E-2</v>
      </c>
      <c r="H222" s="3">
        <v>5.9712468454158627E-3</v>
      </c>
      <c r="I222" s="3">
        <v>30</v>
      </c>
      <c r="J222" s="3">
        <v>7.1128849871391125E-3</v>
      </c>
      <c r="K222" s="3">
        <v>90.666666666666686</v>
      </c>
      <c r="L222" s="3">
        <v>15.710576762876093</v>
      </c>
      <c r="M222" s="3">
        <v>30</v>
      </c>
      <c r="N222" s="3">
        <v>0.32393004336541198</v>
      </c>
      <c r="O222" s="3">
        <v>0.2319688</v>
      </c>
      <c r="P222" s="3">
        <v>4.5614119989001201E-4</v>
      </c>
      <c r="Q222" s="3">
        <f t="shared" si="6"/>
        <v>21031.837866666672</v>
      </c>
      <c r="R222" s="3">
        <f t="shared" si="7"/>
        <v>3644.3636389922517</v>
      </c>
      <c r="S222" s="2" t="s">
        <v>49</v>
      </c>
      <c r="T222" s="2" t="s">
        <v>46</v>
      </c>
    </row>
    <row r="223" spans="1:20" x14ac:dyDescent="0.2">
      <c r="A223" s="2" t="s">
        <v>14</v>
      </c>
      <c r="B223" s="2" t="s">
        <v>45</v>
      </c>
      <c r="C223" s="2" t="s">
        <v>53</v>
      </c>
      <c r="D223" s="3">
        <v>416</v>
      </c>
      <c r="E223" s="3">
        <v>74</v>
      </c>
      <c r="F223" s="2" t="s">
        <v>37</v>
      </c>
      <c r="G223" s="3">
        <v>8.069666666666668E-2</v>
      </c>
      <c r="H223" s="3">
        <v>2.0335526930855653E-2</v>
      </c>
      <c r="I223" s="3">
        <v>30</v>
      </c>
      <c r="J223" s="3">
        <v>7.1128849871391125E-3</v>
      </c>
      <c r="K223" s="3">
        <v>103.06666666666666</v>
      </c>
      <c r="L223" s="3">
        <v>12.463101094386134</v>
      </c>
      <c r="M223" s="3">
        <v>30</v>
      </c>
      <c r="N223" s="3">
        <v>0.32393004336541198</v>
      </c>
      <c r="O223" s="3">
        <v>0.1916563</v>
      </c>
      <c r="P223" s="3">
        <v>3.9081506864215802E-4</v>
      </c>
      <c r="Q223" s="3">
        <f t="shared" si="6"/>
        <v>19753.375986666666</v>
      </c>
      <c r="R223" s="3">
        <f t="shared" si="7"/>
        <v>2388.6318422759973</v>
      </c>
      <c r="S223" s="2" t="s">
        <v>49</v>
      </c>
      <c r="T223" s="2" t="s">
        <v>46</v>
      </c>
    </row>
    <row r="224" spans="1:20" x14ac:dyDescent="0.2">
      <c r="A224" s="2" t="s">
        <v>15</v>
      </c>
      <c r="B224" s="2" t="s">
        <v>51</v>
      </c>
      <c r="C224" s="2" t="s">
        <v>53</v>
      </c>
      <c r="D224" s="3">
        <v>432</v>
      </c>
      <c r="E224" s="3">
        <v>74</v>
      </c>
      <c r="F224" s="2" t="s">
        <v>37</v>
      </c>
      <c r="G224" s="3">
        <v>8.9560000000000001E-2</v>
      </c>
      <c r="H224" s="3">
        <v>2.6308333280540601E-2</v>
      </c>
      <c r="I224" s="3">
        <v>30</v>
      </c>
      <c r="J224" s="3">
        <v>7.1128849871391125E-3</v>
      </c>
      <c r="K224" s="3">
        <v>88</v>
      </c>
      <c r="L224" s="3">
        <v>16.94304183630161</v>
      </c>
      <c r="M224" s="3">
        <v>30</v>
      </c>
      <c r="N224" s="3">
        <v>0.32393004336541198</v>
      </c>
      <c r="O224" s="3">
        <v>0.1887344</v>
      </c>
      <c r="P224" s="3">
        <v>3.8009730377632899E-4</v>
      </c>
      <c r="Q224" s="3">
        <f t="shared" si="6"/>
        <v>16608.627199999999</v>
      </c>
      <c r="R224" s="3">
        <f t="shared" si="7"/>
        <v>3197.7348351492828</v>
      </c>
      <c r="S224" s="2" t="s">
        <v>49</v>
      </c>
      <c r="T224" s="2" t="s">
        <v>45</v>
      </c>
    </row>
    <row r="225" spans="1:20" x14ac:dyDescent="0.2">
      <c r="A225" s="2" t="s">
        <v>16</v>
      </c>
      <c r="B225" s="2" t="s">
        <v>45</v>
      </c>
      <c r="C225" s="2" t="s">
        <v>53</v>
      </c>
      <c r="D225" s="3">
        <v>432</v>
      </c>
      <c r="E225" s="3">
        <v>74</v>
      </c>
      <c r="F225" s="2" t="s">
        <v>37</v>
      </c>
      <c r="G225" s="3">
        <v>0.10091333333333331</v>
      </c>
      <c r="H225" s="3">
        <v>1.7436470081094078E-2</v>
      </c>
      <c r="I225" s="3">
        <v>30</v>
      </c>
      <c r="J225" s="3">
        <v>7.1128849871391125E-3</v>
      </c>
      <c r="K225" s="3">
        <v>96.966666666666683</v>
      </c>
      <c r="L225" s="3">
        <v>7.241009751562431</v>
      </c>
      <c r="M225" s="3">
        <v>30</v>
      </c>
      <c r="N225" s="3">
        <v>0.32393004336541198</v>
      </c>
      <c r="O225" s="3">
        <v>0.19628129999999999</v>
      </c>
      <c r="P225" s="3">
        <v>4.1791574726142102E-4</v>
      </c>
      <c r="Q225" s="3">
        <f t="shared" si="6"/>
        <v>19032.743390000003</v>
      </c>
      <c r="R225" s="3">
        <f t="shared" si="7"/>
        <v>1421.274807349351</v>
      </c>
      <c r="S225" s="2" t="s">
        <v>49</v>
      </c>
      <c r="T225" s="2" t="s">
        <v>45</v>
      </c>
    </row>
    <row r="226" spans="1:20" x14ac:dyDescent="0.2">
      <c r="A226" s="2" t="s">
        <v>1</v>
      </c>
      <c r="B226" s="2" t="s">
        <v>51</v>
      </c>
      <c r="C226" s="2" t="s">
        <v>53</v>
      </c>
      <c r="D226" s="3">
        <v>443</v>
      </c>
      <c r="E226" s="3">
        <v>78</v>
      </c>
      <c r="F226" s="2" t="s">
        <v>28</v>
      </c>
      <c r="G226" s="3">
        <v>4.218333333333333E-2</v>
      </c>
      <c r="H226" s="3">
        <v>2.5435750212818353E-2</v>
      </c>
      <c r="I226" s="3">
        <v>30</v>
      </c>
      <c r="J226" s="3">
        <v>7.7609401084240831E-3</v>
      </c>
      <c r="K226" s="3">
        <v>49.533333333333331</v>
      </c>
      <c r="L226" s="3">
        <v>8.8871942829119153</v>
      </c>
      <c r="M226" s="3">
        <v>30</v>
      </c>
      <c r="N226" s="3">
        <v>0.62526072925445664</v>
      </c>
      <c r="O226" s="3">
        <v>0.480375</v>
      </c>
      <c r="P226" s="3">
        <v>9.8921002526751196E-4</v>
      </c>
      <c r="Q226" s="3">
        <f t="shared" si="6"/>
        <v>23794.574999999997</v>
      </c>
      <c r="R226" s="3">
        <f t="shared" si="7"/>
        <v>4269.1859536538113</v>
      </c>
      <c r="S226" s="2" t="s">
        <v>49</v>
      </c>
      <c r="T226" s="2" t="s">
        <v>45</v>
      </c>
    </row>
    <row r="227" spans="1:20" x14ac:dyDescent="0.2">
      <c r="A227" s="2" t="s">
        <v>2</v>
      </c>
      <c r="B227" s="2" t="s">
        <v>51</v>
      </c>
      <c r="C227" s="2" t="s">
        <v>54</v>
      </c>
      <c r="D227" s="3">
        <v>459</v>
      </c>
      <c r="E227" s="3">
        <v>78</v>
      </c>
      <c r="F227" s="2" t="s">
        <v>28</v>
      </c>
      <c r="G227" s="3">
        <v>3.5230000000000004E-2</v>
      </c>
      <c r="H227" s="3">
        <v>1.6454202097539301E-2</v>
      </c>
      <c r="I227" s="3">
        <v>30</v>
      </c>
      <c r="J227" s="3">
        <v>7.7609401084240831E-3</v>
      </c>
      <c r="K227" s="3">
        <v>142.63333333333333</v>
      </c>
      <c r="L227" s="3">
        <v>9.9347314452323712</v>
      </c>
      <c r="M227" s="3">
        <v>30</v>
      </c>
      <c r="N227" s="3">
        <v>0.62526072925445664</v>
      </c>
      <c r="O227" s="3">
        <v>0.52818750000000003</v>
      </c>
      <c r="P227" s="3">
        <v>1.1127396320237701E-3</v>
      </c>
      <c r="Q227" s="3">
        <f t="shared" si="6"/>
        <v>75337.143749999988</v>
      </c>
      <c r="R227" s="3">
        <f t="shared" si="7"/>
        <v>5247.4009652286741</v>
      </c>
      <c r="S227" s="2" t="s">
        <v>49</v>
      </c>
      <c r="T227" s="2" t="s">
        <v>45</v>
      </c>
    </row>
    <row r="228" spans="1:20" x14ac:dyDescent="0.2">
      <c r="A228" s="2" t="s">
        <v>3</v>
      </c>
      <c r="B228" s="2" t="s">
        <v>45</v>
      </c>
      <c r="C228" s="2" t="s">
        <v>54</v>
      </c>
      <c r="D228" s="3">
        <v>440</v>
      </c>
      <c r="E228" s="3">
        <v>78</v>
      </c>
      <c r="F228" s="2" t="s">
        <v>28</v>
      </c>
      <c r="G228" s="3">
        <v>2.089333333333333E-2</v>
      </c>
      <c r="H228" s="3">
        <v>9.585229377653005E-3</v>
      </c>
      <c r="I228" s="3">
        <v>30</v>
      </c>
      <c r="J228" s="3">
        <v>7.7609401084240831E-3</v>
      </c>
      <c r="K228" s="3">
        <v>102.93333333333334</v>
      </c>
      <c r="L228" s="3">
        <v>18.941899470632706</v>
      </c>
      <c r="M228" s="3">
        <v>30</v>
      </c>
      <c r="N228" s="3">
        <v>0.62526072925445664</v>
      </c>
      <c r="O228" s="3">
        <v>0.53082819999999997</v>
      </c>
      <c r="P228" s="3">
        <v>1.10137411514469E-3</v>
      </c>
      <c r="Q228" s="3">
        <f t="shared" si="6"/>
        <v>54639.916053333334</v>
      </c>
      <c r="R228" s="3">
        <f t="shared" si="7"/>
        <v>10054.894400576912</v>
      </c>
      <c r="S228" s="2" t="s">
        <v>49</v>
      </c>
      <c r="T228" s="2" t="s">
        <v>45</v>
      </c>
    </row>
    <row r="229" spans="1:20" x14ac:dyDescent="0.2">
      <c r="A229" s="2" t="s">
        <v>4</v>
      </c>
      <c r="B229" s="2" t="s">
        <v>45</v>
      </c>
      <c r="C229" s="2" t="s">
        <v>53</v>
      </c>
      <c r="D229" s="3">
        <v>440</v>
      </c>
      <c r="E229" s="3">
        <v>78</v>
      </c>
      <c r="F229" s="2" t="s">
        <v>28</v>
      </c>
      <c r="G229" s="3">
        <v>3.9926666666666666E-2</v>
      </c>
      <c r="H229" s="3">
        <v>2.7860927638700204E-2</v>
      </c>
      <c r="I229" s="3">
        <v>30</v>
      </c>
      <c r="J229" s="3">
        <v>7.7609401084240831E-3</v>
      </c>
      <c r="K229" s="3">
        <v>35.1</v>
      </c>
      <c r="L229" s="3">
        <v>10.656297042906914</v>
      </c>
      <c r="M229" s="3">
        <v>30</v>
      </c>
      <c r="N229" s="3">
        <v>0.62526072925445664</v>
      </c>
      <c r="O229" s="3">
        <v>0.4654375</v>
      </c>
      <c r="P229" s="3">
        <v>9.8409768816524698E-4</v>
      </c>
      <c r="Q229" s="3">
        <f t="shared" si="6"/>
        <v>16336.856250000001</v>
      </c>
      <c r="R229" s="3">
        <f t="shared" si="7"/>
        <v>4959.8402549079865</v>
      </c>
      <c r="S229" s="2" t="s">
        <v>49</v>
      </c>
      <c r="T229" s="2" t="s">
        <v>45</v>
      </c>
    </row>
    <row r="230" spans="1:20" x14ac:dyDescent="0.2">
      <c r="A230" s="2" t="s">
        <v>5</v>
      </c>
      <c r="B230" s="2" t="s">
        <v>51</v>
      </c>
      <c r="C230" s="2" t="s">
        <v>53</v>
      </c>
      <c r="D230" s="3">
        <v>459</v>
      </c>
      <c r="E230" s="3">
        <v>78</v>
      </c>
      <c r="F230" s="2" t="s">
        <v>28</v>
      </c>
      <c r="G230" s="3">
        <v>4.7206666666666681E-2</v>
      </c>
      <c r="H230" s="3">
        <v>2.760466063708969E-2</v>
      </c>
      <c r="I230" s="3">
        <v>30</v>
      </c>
      <c r="J230" s="3">
        <v>7.7609401084240831E-3</v>
      </c>
      <c r="K230" s="3">
        <v>31.633333333333333</v>
      </c>
      <c r="L230" s="3">
        <v>17.265540503815362</v>
      </c>
      <c r="M230" s="3">
        <v>30</v>
      </c>
      <c r="N230" s="3">
        <v>0.62526072925445664</v>
      </c>
      <c r="O230" s="3">
        <v>0.45006249999999998</v>
      </c>
      <c r="P230" s="3">
        <v>9.3252523892760298E-4</v>
      </c>
      <c r="Q230" s="3">
        <f t="shared" si="6"/>
        <v>14236.977083333331</v>
      </c>
      <c r="R230" s="3">
        <f t="shared" si="7"/>
        <v>7770.5723229984014</v>
      </c>
      <c r="S230" s="2" t="s">
        <v>49</v>
      </c>
      <c r="T230" s="2" t="s">
        <v>45</v>
      </c>
    </row>
    <row r="231" spans="1:20" x14ac:dyDescent="0.2">
      <c r="A231" s="2" t="s">
        <v>6</v>
      </c>
      <c r="B231" s="2" t="s">
        <v>45</v>
      </c>
      <c r="C231" s="2" t="s">
        <v>54</v>
      </c>
      <c r="D231" s="3">
        <v>446</v>
      </c>
      <c r="E231" s="3">
        <v>78</v>
      </c>
      <c r="F231" s="2" t="s">
        <v>28</v>
      </c>
      <c r="G231" s="3">
        <v>3.574999999999999E-2</v>
      </c>
      <c r="H231" s="3">
        <v>3.1633228837200079E-2</v>
      </c>
      <c r="I231" s="3">
        <v>30</v>
      </c>
      <c r="J231" s="3">
        <v>7.7609401084240831E-3</v>
      </c>
      <c r="K231" s="3">
        <v>59.633333333333333</v>
      </c>
      <c r="L231" s="3">
        <v>8.7692011545458861</v>
      </c>
      <c r="M231" s="3">
        <v>30</v>
      </c>
      <c r="N231" s="3">
        <v>0.62526072925445664</v>
      </c>
      <c r="O231" s="3">
        <v>0.54154690000000005</v>
      </c>
      <c r="P231" s="3">
        <v>1.1337059550089201E-3</v>
      </c>
      <c r="Q231" s="3">
        <f t="shared" si="6"/>
        <v>32294.246803333339</v>
      </c>
      <c r="R231" s="3">
        <f t="shared" si="7"/>
        <v>4748.9337007207459</v>
      </c>
      <c r="S231" s="2" t="s">
        <v>49</v>
      </c>
      <c r="T231" s="2" t="s">
        <v>45</v>
      </c>
    </row>
    <row r="232" spans="1:20" x14ac:dyDescent="0.2">
      <c r="A232" s="2" t="s">
        <v>7</v>
      </c>
      <c r="B232" s="2" t="s">
        <v>51</v>
      </c>
      <c r="C232" s="2" t="s">
        <v>53</v>
      </c>
      <c r="D232" s="3">
        <v>416</v>
      </c>
      <c r="E232" s="3">
        <v>78</v>
      </c>
      <c r="F232" s="2" t="s">
        <v>28</v>
      </c>
      <c r="G232" s="3">
        <v>9.8113333333333344E-2</v>
      </c>
      <c r="H232" s="3">
        <v>2.221479587022027E-2</v>
      </c>
      <c r="I232" s="3">
        <v>30</v>
      </c>
      <c r="J232" s="3">
        <v>7.7609401084240831E-3</v>
      </c>
      <c r="K232" s="3">
        <v>84.666666666666671</v>
      </c>
      <c r="L232" s="3">
        <v>14.94508466204041</v>
      </c>
      <c r="M232" s="3">
        <v>30</v>
      </c>
      <c r="N232" s="3">
        <v>0.62526072925445664</v>
      </c>
      <c r="O232" s="3">
        <v>0.4139063</v>
      </c>
      <c r="P232" s="3">
        <v>8.4063388614400195E-4</v>
      </c>
      <c r="Q232" s="3">
        <f t="shared" si="6"/>
        <v>35044.066733333333</v>
      </c>
      <c r="R232" s="3">
        <f t="shared" si="7"/>
        <v>6185.8646956518969</v>
      </c>
      <c r="S232" s="2" t="s">
        <v>49</v>
      </c>
      <c r="T232" s="2" t="s">
        <v>46</v>
      </c>
    </row>
    <row r="233" spans="1:20" x14ac:dyDescent="0.2">
      <c r="A233" s="2" t="s">
        <v>8</v>
      </c>
      <c r="B233" s="2" t="s">
        <v>45</v>
      </c>
      <c r="C233" s="2" t="s">
        <v>54</v>
      </c>
      <c r="D233" s="3">
        <v>494</v>
      </c>
      <c r="E233" s="3">
        <v>78</v>
      </c>
      <c r="F233" s="2" t="s">
        <v>28</v>
      </c>
      <c r="G233" s="3">
        <v>3.2529999999999996E-2</v>
      </c>
      <c r="H233" s="3">
        <v>3.0223370096665262E-2</v>
      </c>
      <c r="I233" s="3">
        <v>30</v>
      </c>
      <c r="J233" s="3">
        <v>7.7609401084240831E-3</v>
      </c>
      <c r="K233" s="3">
        <v>32.233333333333334</v>
      </c>
      <c r="L233" s="3">
        <v>6.4893930549953769</v>
      </c>
      <c r="M233" s="3">
        <v>30</v>
      </c>
      <c r="N233" s="3">
        <v>0.62526072925445664</v>
      </c>
      <c r="O233" s="3">
        <v>0.52653130000000004</v>
      </c>
      <c r="P233" s="3">
        <v>1.0905550339196999E-3</v>
      </c>
      <c r="Q233" s="3">
        <f t="shared" si="6"/>
        <v>16971.858903333337</v>
      </c>
      <c r="R233" s="3">
        <f t="shared" si="7"/>
        <v>3416.8685614576875</v>
      </c>
      <c r="S233" s="2" t="s">
        <v>49</v>
      </c>
      <c r="T233" s="2" t="s">
        <v>45</v>
      </c>
    </row>
    <row r="234" spans="1:20" x14ac:dyDescent="0.2">
      <c r="A234" s="2" t="s">
        <v>9</v>
      </c>
      <c r="B234" s="2" t="s">
        <v>51</v>
      </c>
      <c r="C234" s="2" t="s">
        <v>53</v>
      </c>
      <c r="D234" s="3">
        <v>480</v>
      </c>
      <c r="E234" s="3">
        <v>78</v>
      </c>
      <c r="F234" s="2" t="s">
        <v>28</v>
      </c>
      <c r="G234" s="3">
        <v>5.2453333333333338E-2</v>
      </c>
      <c r="H234" s="3">
        <v>3.076469549481823E-2</v>
      </c>
      <c r="I234" s="3">
        <v>30</v>
      </c>
      <c r="J234" s="3">
        <v>7.7609401084240831E-3</v>
      </c>
      <c r="K234" s="3">
        <v>35.5</v>
      </c>
      <c r="L234" s="3">
        <v>6.6870521656905497</v>
      </c>
      <c r="M234" s="3">
        <v>30</v>
      </c>
      <c r="N234" s="3">
        <v>0.62526072925445664</v>
      </c>
      <c r="O234" s="3">
        <v>0.42525000000000002</v>
      </c>
      <c r="P234" s="3">
        <v>8.9452294808349596E-4</v>
      </c>
      <c r="Q234" s="3">
        <f t="shared" si="6"/>
        <v>15096.375</v>
      </c>
      <c r="R234" s="3">
        <f t="shared" si="7"/>
        <v>2843.6689334599064</v>
      </c>
      <c r="S234" s="2" t="s">
        <v>49</v>
      </c>
      <c r="T234" s="2" t="s">
        <v>45</v>
      </c>
    </row>
    <row r="235" spans="1:20" x14ac:dyDescent="0.2">
      <c r="A235" s="2" t="s">
        <v>10</v>
      </c>
      <c r="B235" s="2" t="s">
        <v>45</v>
      </c>
      <c r="C235" s="2" t="s">
        <v>54</v>
      </c>
      <c r="D235" s="3">
        <v>480</v>
      </c>
      <c r="E235" s="3">
        <v>78</v>
      </c>
      <c r="F235" s="2" t="s">
        <v>28</v>
      </c>
      <c r="G235" s="3">
        <v>3.7392592592592595E-2</v>
      </c>
      <c r="H235" s="3">
        <v>3.3529621242803669E-2</v>
      </c>
      <c r="I235" s="3">
        <v>30</v>
      </c>
      <c r="J235" s="3">
        <v>7.7609401084240831E-3</v>
      </c>
      <c r="K235" s="3">
        <v>32.166666666666664</v>
      </c>
      <c r="L235" s="3">
        <v>8.2586654827251333</v>
      </c>
      <c r="M235" s="3">
        <v>30</v>
      </c>
      <c r="N235" s="3">
        <v>0.62526072925445664</v>
      </c>
      <c r="O235" s="3">
        <v>0.52003129999999997</v>
      </c>
      <c r="P235" s="3">
        <v>1.12742902266781E-3</v>
      </c>
      <c r="Q235" s="3">
        <f t="shared" si="6"/>
        <v>16727.673483333332</v>
      </c>
      <c r="R235" s="3">
        <f t="shared" si="7"/>
        <v>4294.7645472466784</v>
      </c>
      <c r="S235" s="2" t="s">
        <v>49</v>
      </c>
      <c r="T235" s="2" t="s">
        <v>45</v>
      </c>
    </row>
    <row r="236" spans="1:20" x14ac:dyDescent="0.2">
      <c r="A236" s="2" t="s">
        <v>11</v>
      </c>
      <c r="B236" s="2" t="s">
        <v>45</v>
      </c>
      <c r="C236" s="2" t="s">
        <v>53</v>
      </c>
      <c r="D236" s="3">
        <v>480</v>
      </c>
      <c r="E236" s="3">
        <v>78</v>
      </c>
      <c r="F236" s="2" t="s">
        <v>28</v>
      </c>
      <c r="G236" s="3">
        <v>3.1843333333333328E-2</v>
      </c>
      <c r="H236" s="3">
        <v>2.4500295009561732E-2</v>
      </c>
      <c r="I236" s="3">
        <v>30</v>
      </c>
      <c r="J236" s="3">
        <v>7.7609401084240831E-3</v>
      </c>
      <c r="K236" s="3">
        <v>40.299999999999997</v>
      </c>
      <c r="L236" s="3">
        <v>8.1451417012433449</v>
      </c>
      <c r="M236" s="3">
        <v>30</v>
      </c>
      <c r="N236" s="3">
        <v>0.62526072925445664</v>
      </c>
      <c r="O236" s="3">
        <v>0.45540629999999999</v>
      </c>
      <c r="P236" s="3">
        <v>9.8385722765783994E-4</v>
      </c>
      <c r="Q236" s="3">
        <f t="shared" si="6"/>
        <v>18352.873889999999</v>
      </c>
      <c r="R236" s="3">
        <f t="shared" si="7"/>
        <v>3709.3488451389371</v>
      </c>
      <c r="S236" s="2" t="s">
        <v>49</v>
      </c>
      <c r="T236" s="2" t="s">
        <v>45</v>
      </c>
    </row>
    <row r="237" spans="1:20" x14ac:dyDescent="0.2">
      <c r="A237" s="2" t="s">
        <v>12</v>
      </c>
      <c r="B237" s="2" t="s">
        <v>51</v>
      </c>
      <c r="C237" s="2" t="s">
        <v>54</v>
      </c>
      <c r="D237" s="3">
        <v>416</v>
      </c>
      <c r="E237" s="3">
        <v>78</v>
      </c>
      <c r="F237" s="2" t="s">
        <v>28</v>
      </c>
      <c r="G237" s="3">
        <v>3.410333333333334E-2</v>
      </c>
      <c r="H237" s="3">
        <v>1.9104650102934509E-2</v>
      </c>
      <c r="I237" s="3">
        <v>30</v>
      </c>
      <c r="J237" s="3">
        <v>7.7609401084240831E-3</v>
      </c>
      <c r="K237" s="3">
        <v>139.9</v>
      </c>
      <c r="L237" s="3">
        <v>13.528611655795777</v>
      </c>
      <c r="M237" s="3">
        <v>30</v>
      </c>
      <c r="N237" s="3">
        <v>0.62526072925445664</v>
      </c>
      <c r="O237" s="3">
        <v>0.57040630000000003</v>
      </c>
      <c r="P237" s="3">
        <v>1.13099656748754E-3</v>
      </c>
      <c r="Q237" s="3">
        <f t="shared" si="6"/>
        <v>79799.841370000009</v>
      </c>
      <c r="R237" s="3">
        <f t="shared" si="7"/>
        <v>7716.8053187193427</v>
      </c>
      <c r="S237" s="2" t="s">
        <v>49</v>
      </c>
      <c r="T237" s="2" t="s">
        <v>46</v>
      </c>
    </row>
    <row r="238" spans="1:20" x14ac:dyDescent="0.2">
      <c r="A238" s="2" t="s">
        <v>13</v>
      </c>
      <c r="B238" s="2" t="s">
        <v>45</v>
      </c>
      <c r="C238" s="2" t="s">
        <v>54</v>
      </c>
      <c r="D238" s="3">
        <v>416</v>
      </c>
      <c r="E238" s="3">
        <v>78</v>
      </c>
      <c r="F238" s="2" t="s">
        <v>28</v>
      </c>
      <c r="G238" s="3">
        <v>2.6500000000000003E-2</v>
      </c>
      <c r="H238" s="3">
        <v>1.4702267398828885E-2</v>
      </c>
      <c r="I238" s="3">
        <v>30</v>
      </c>
      <c r="J238" s="3">
        <v>7.7609401084240831E-3</v>
      </c>
      <c r="K238" s="3">
        <v>127.83333333333331</v>
      </c>
      <c r="L238" s="3">
        <v>9.1107384747645757</v>
      </c>
      <c r="M238" s="3">
        <v>30</v>
      </c>
      <c r="N238" s="3">
        <v>0.62526072925445664</v>
      </c>
      <c r="O238" s="3">
        <v>0.57281249999999995</v>
      </c>
      <c r="P238" s="3">
        <v>1.1263729478360801E-3</v>
      </c>
      <c r="Q238" s="3">
        <f t="shared" si="6"/>
        <v>73224.531249999985</v>
      </c>
      <c r="R238" s="3">
        <f t="shared" si="7"/>
        <v>5218.744882576083</v>
      </c>
      <c r="S238" s="2" t="s">
        <v>49</v>
      </c>
      <c r="T238" s="2" t="s">
        <v>46</v>
      </c>
    </row>
    <row r="239" spans="1:20" x14ac:dyDescent="0.2">
      <c r="A239" s="2" t="s">
        <v>14</v>
      </c>
      <c r="B239" s="2" t="s">
        <v>45</v>
      </c>
      <c r="C239" s="2" t="s">
        <v>53</v>
      </c>
      <c r="D239" s="3">
        <v>416</v>
      </c>
      <c r="E239" s="3">
        <v>78</v>
      </c>
      <c r="F239" s="2" t="s">
        <v>28</v>
      </c>
      <c r="G239" s="3">
        <v>7.7460000000000001E-2</v>
      </c>
      <c r="H239" s="3">
        <v>2.2103673902770102E-2</v>
      </c>
      <c r="I239" s="3">
        <v>30</v>
      </c>
      <c r="J239" s="3">
        <v>7.7609401084240831E-3</v>
      </c>
      <c r="K239" s="3">
        <v>145.26666666666668</v>
      </c>
      <c r="L239" s="3">
        <v>9.1685452620479673</v>
      </c>
      <c r="M239" s="3">
        <v>30</v>
      </c>
      <c r="N239" s="3">
        <v>0.62526072925445664</v>
      </c>
      <c r="O239" s="3">
        <v>0.48298439999999998</v>
      </c>
      <c r="P239" s="3">
        <v>9.848754329447641E-4</v>
      </c>
      <c r="Q239" s="3">
        <f t="shared" si="6"/>
        <v>70161.533840000004</v>
      </c>
      <c r="R239" s="3">
        <f t="shared" si="7"/>
        <v>4428.2643322630793</v>
      </c>
      <c r="S239" s="2" t="s">
        <v>49</v>
      </c>
      <c r="T239" s="2" t="s">
        <v>46</v>
      </c>
    </row>
    <row r="240" spans="1:20" x14ac:dyDescent="0.2">
      <c r="A240" s="2" t="s">
        <v>15</v>
      </c>
      <c r="B240" s="2" t="s">
        <v>51</v>
      </c>
      <c r="C240" s="2" t="s">
        <v>53</v>
      </c>
      <c r="D240" s="3">
        <v>432</v>
      </c>
      <c r="E240" s="3">
        <v>78</v>
      </c>
      <c r="F240" s="2" t="s">
        <v>28</v>
      </c>
      <c r="G240" s="3">
        <v>9.1889999999999999E-2</v>
      </c>
      <c r="H240" s="3">
        <v>2.4324779546791374E-2</v>
      </c>
      <c r="I240" s="3">
        <v>30</v>
      </c>
      <c r="J240" s="3">
        <v>7.7609401084240831E-3</v>
      </c>
      <c r="K240" s="3">
        <v>137.33333333333334</v>
      </c>
      <c r="L240" s="3">
        <v>23.429800587191423</v>
      </c>
      <c r="M240" s="3">
        <v>30</v>
      </c>
      <c r="N240" s="3">
        <v>0.62526072925445664</v>
      </c>
      <c r="O240" s="3">
        <v>0.44650000000000001</v>
      </c>
      <c r="P240" s="3">
        <v>8.9921840499734395E-4</v>
      </c>
      <c r="Q240" s="3">
        <f t="shared" si="6"/>
        <v>61319.333333333336</v>
      </c>
      <c r="R240" s="3">
        <f t="shared" si="7"/>
        <v>10461.40596218097</v>
      </c>
      <c r="S240" s="2" t="s">
        <v>49</v>
      </c>
      <c r="T240" s="2" t="s">
        <v>45</v>
      </c>
    </row>
    <row r="241" spans="1:20" x14ac:dyDescent="0.2">
      <c r="A241" s="2" t="s">
        <v>16</v>
      </c>
      <c r="B241" s="2" t="s">
        <v>45</v>
      </c>
      <c r="C241" s="2" t="s">
        <v>53</v>
      </c>
      <c r="D241" s="3">
        <v>432</v>
      </c>
      <c r="E241" s="3">
        <v>78</v>
      </c>
      <c r="F241" s="2" t="s">
        <v>28</v>
      </c>
      <c r="G241" s="3">
        <v>0.10060333333333334</v>
      </c>
      <c r="H241" s="3">
        <v>1.9021154597505963E-2</v>
      </c>
      <c r="I241" s="3">
        <v>30</v>
      </c>
      <c r="J241" s="3">
        <v>7.7609401084240831E-3</v>
      </c>
      <c r="K241" s="3">
        <v>146.43333333333334</v>
      </c>
      <c r="L241" s="3">
        <v>10.827998686532776</v>
      </c>
      <c r="M241" s="3">
        <v>30</v>
      </c>
      <c r="N241" s="3">
        <v>0.62526072925445664</v>
      </c>
      <c r="O241" s="3">
        <v>0.44671880000000003</v>
      </c>
      <c r="P241" s="3">
        <v>9.5113911064235502E-4</v>
      </c>
      <c r="Q241" s="3">
        <f t="shared" si="6"/>
        <v>65414.522946666671</v>
      </c>
      <c r="R241" s="3">
        <f t="shared" si="7"/>
        <v>4837.0705796494976</v>
      </c>
      <c r="S241" s="2" t="s">
        <v>49</v>
      </c>
      <c r="T241" s="2" t="s">
        <v>45</v>
      </c>
    </row>
    <row r="242" spans="1:20" x14ac:dyDescent="0.2">
      <c r="A242" s="2" t="s">
        <v>1</v>
      </c>
      <c r="B242" s="2" t="s">
        <v>51</v>
      </c>
      <c r="C242" s="2" t="s">
        <v>53</v>
      </c>
      <c r="D242" s="3">
        <v>443</v>
      </c>
      <c r="E242" s="3">
        <v>79</v>
      </c>
      <c r="F242" s="2" t="s">
        <v>36</v>
      </c>
      <c r="G242" s="3">
        <v>3.5306666666666667E-2</v>
      </c>
      <c r="H242" s="3">
        <v>2.6779668075280958E-2</v>
      </c>
      <c r="I242" s="3">
        <v>30</v>
      </c>
      <c r="J242" s="3">
        <v>2.2194466865548392E-4</v>
      </c>
      <c r="K242" s="3">
        <v>24.666666666666668</v>
      </c>
      <c r="L242" s="3">
        <v>6.3526022664381845</v>
      </c>
      <c r="M242" s="3">
        <v>30</v>
      </c>
      <c r="N242" s="3">
        <v>0.99144161132893238</v>
      </c>
      <c r="O242" s="3">
        <v>7.9718750000000005E-2</v>
      </c>
      <c r="P242" s="3">
        <v>1.6416047192671201E-4</v>
      </c>
      <c r="Q242" s="3">
        <f t="shared" si="6"/>
        <v>1966.3958333333335</v>
      </c>
      <c r="R242" s="3">
        <f t="shared" si="7"/>
        <v>506.42151192761906</v>
      </c>
      <c r="S242" s="2" t="s">
        <v>49</v>
      </c>
      <c r="T242" s="2" t="s">
        <v>45</v>
      </c>
    </row>
    <row r="243" spans="1:20" x14ac:dyDescent="0.2">
      <c r="A243" s="2" t="s">
        <v>2</v>
      </c>
      <c r="B243" s="2" t="s">
        <v>51</v>
      </c>
      <c r="C243" s="2" t="s">
        <v>54</v>
      </c>
      <c r="D243" s="3">
        <v>459</v>
      </c>
      <c r="E243" s="3">
        <v>79</v>
      </c>
      <c r="F243" s="2" t="s">
        <v>36</v>
      </c>
      <c r="G243" s="3">
        <v>3.0959999999999994E-2</v>
      </c>
      <c r="H243" s="3">
        <v>1.2180027367238E-2</v>
      </c>
      <c r="I243" s="3">
        <v>30</v>
      </c>
      <c r="J243" s="3">
        <v>2.2194466865548392E-4</v>
      </c>
      <c r="K243" s="3">
        <v>105.9</v>
      </c>
      <c r="L243" s="3">
        <v>17.622618042353032</v>
      </c>
      <c r="M243" s="3">
        <v>30</v>
      </c>
      <c r="N243" s="3">
        <v>0.99144161132893238</v>
      </c>
      <c r="O243" s="3">
        <v>8.2718749999999994E-2</v>
      </c>
      <c r="P243" s="3">
        <v>1.7426469092219501E-4</v>
      </c>
      <c r="Q243" s="3">
        <f t="shared" si="6"/>
        <v>8759.9156249999996</v>
      </c>
      <c r="R243" s="3">
        <f t="shared" si="7"/>
        <v>1457.7209361908897</v>
      </c>
      <c r="S243" s="2" t="s">
        <v>49</v>
      </c>
      <c r="T243" s="2" t="s">
        <v>45</v>
      </c>
    </row>
    <row r="244" spans="1:20" x14ac:dyDescent="0.2">
      <c r="A244" s="2" t="s">
        <v>3</v>
      </c>
      <c r="B244" s="2" t="s">
        <v>45</v>
      </c>
      <c r="C244" s="2" t="s">
        <v>54</v>
      </c>
      <c r="D244" s="3">
        <v>440</v>
      </c>
      <c r="E244" s="3">
        <v>79</v>
      </c>
      <c r="F244" s="2" t="s">
        <v>36</v>
      </c>
      <c r="G244" s="3">
        <v>1.2183333333333331E-2</v>
      </c>
      <c r="H244" s="3">
        <v>3.824576955545396E-3</v>
      </c>
      <c r="I244" s="3">
        <v>30</v>
      </c>
      <c r="J244" s="3">
        <v>2.2194466865548392E-4</v>
      </c>
      <c r="K244" s="3">
        <v>91.86666666666666</v>
      </c>
      <c r="L244" s="3">
        <v>9.82762546204434</v>
      </c>
      <c r="M244" s="3">
        <v>30</v>
      </c>
      <c r="N244" s="3">
        <v>0.99144161132893238</v>
      </c>
      <c r="O244" s="3">
        <v>9.2656249999999996E-2</v>
      </c>
      <c r="P244" s="3">
        <v>1.9224524122187799E-4</v>
      </c>
      <c r="Q244" s="3">
        <f t="shared" si="6"/>
        <v>8512.0208333333321</v>
      </c>
      <c r="R244" s="3">
        <f t="shared" si="7"/>
        <v>910.59092171754583</v>
      </c>
      <c r="S244" s="2" t="s">
        <v>49</v>
      </c>
      <c r="T244" s="2" t="s">
        <v>45</v>
      </c>
    </row>
    <row r="245" spans="1:20" x14ac:dyDescent="0.2">
      <c r="A245" s="2" t="s">
        <v>4</v>
      </c>
      <c r="B245" s="2" t="s">
        <v>45</v>
      </c>
      <c r="C245" s="2" t="s">
        <v>53</v>
      </c>
      <c r="D245" s="3">
        <v>440</v>
      </c>
      <c r="E245" s="3">
        <v>79</v>
      </c>
      <c r="F245" s="2" t="s">
        <v>36</v>
      </c>
      <c r="G245" s="3">
        <v>3.1566666666666673E-2</v>
      </c>
      <c r="H245" s="3">
        <v>2.0768844187601988E-2</v>
      </c>
      <c r="I245" s="3">
        <v>30</v>
      </c>
      <c r="J245" s="3">
        <v>2.2194466865548392E-4</v>
      </c>
      <c r="K245" s="3">
        <v>20.733333333333334</v>
      </c>
      <c r="L245" s="3">
        <v>7.5495400890091018</v>
      </c>
      <c r="M245" s="3">
        <v>30</v>
      </c>
      <c r="N245" s="3">
        <v>0.99144161132893238</v>
      </c>
      <c r="O245" s="3">
        <v>8.3812510000000007E-2</v>
      </c>
      <c r="P245" s="3">
        <v>1.77208964319219E-4</v>
      </c>
      <c r="Q245" s="3">
        <f t="shared" si="6"/>
        <v>1737.7127073333336</v>
      </c>
      <c r="R245" s="3">
        <f t="shared" si="7"/>
        <v>632.74590420547622</v>
      </c>
      <c r="S245" s="2" t="s">
        <v>49</v>
      </c>
      <c r="T245" s="2" t="s">
        <v>45</v>
      </c>
    </row>
    <row r="246" spans="1:20" x14ac:dyDescent="0.2">
      <c r="A246" s="2" t="s">
        <v>5</v>
      </c>
      <c r="B246" s="2" t="s">
        <v>51</v>
      </c>
      <c r="C246" s="2" t="s">
        <v>53</v>
      </c>
      <c r="D246" s="3">
        <v>459</v>
      </c>
      <c r="E246" s="3">
        <v>79</v>
      </c>
      <c r="F246" s="2" t="s">
        <v>36</v>
      </c>
      <c r="G246" s="3">
        <v>5.9103333333333327E-2</v>
      </c>
      <c r="H246" s="3">
        <v>1.9247293893485968E-2</v>
      </c>
      <c r="I246" s="3">
        <v>30</v>
      </c>
      <c r="J246" s="3">
        <v>2.2194466865548392E-4</v>
      </c>
      <c r="K246" s="3">
        <v>27.166666666666668</v>
      </c>
      <c r="L246" s="3">
        <v>11.980771631614088</v>
      </c>
      <c r="M246" s="3">
        <v>30</v>
      </c>
      <c r="N246" s="3">
        <v>0.99144161132893238</v>
      </c>
      <c r="O246" s="3">
        <v>7.879688E-2</v>
      </c>
      <c r="P246" s="3">
        <v>1.6326638933203701E-4</v>
      </c>
      <c r="Q246" s="3">
        <f t="shared" si="6"/>
        <v>2140.6485733333334</v>
      </c>
      <c r="R246" s="3">
        <f t="shared" si="7"/>
        <v>944.04742456369956</v>
      </c>
      <c r="S246" s="2" t="s">
        <v>49</v>
      </c>
      <c r="T246" s="2" t="s">
        <v>45</v>
      </c>
    </row>
    <row r="247" spans="1:20" x14ac:dyDescent="0.2">
      <c r="A247" s="2" t="s">
        <v>6</v>
      </c>
      <c r="B247" s="2" t="s">
        <v>45</v>
      </c>
      <c r="C247" s="2" t="s">
        <v>54</v>
      </c>
      <c r="D247" s="3">
        <v>446</v>
      </c>
      <c r="E247" s="3">
        <v>79</v>
      </c>
      <c r="F247" s="2" t="s">
        <v>36</v>
      </c>
      <c r="G247" s="3">
        <v>1.9918518518518516E-2</v>
      </c>
      <c r="H247" s="3">
        <v>3.1435566517078344E-2</v>
      </c>
      <c r="I247" s="3">
        <v>30</v>
      </c>
      <c r="J247" s="3">
        <v>2.2194466865548392E-4</v>
      </c>
      <c r="K247" s="3">
        <v>38.700000000000003</v>
      </c>
      <c r="L247" s="3">
        <v>8.9112288714856831</v>
      </c>
      <c r="M247" s="3">
        <v>30</v>
      </c>
      <c r="N247" s="3">
        <v>0.99144161132893238</v>
      </c>
      <c r="O247" s="3">
        <v>9.3406249999999996E-2</v>
      </c>
      <c r="P247" s="3">
        <v>1.9554210699027601E-4</v>
      </c>
      <c r="Q247" s="3">
        <f t="shared" si="6"/>
        <v>3614.8218749999996</v>
      </c>
      <c r="R247" s="3">
        <f t="shared" si="7"/>
        <v>832.36447177720947</v>
      </c>
      <c r="S247" s="2" t="s">
        <v>49</v>
      </c>
      <c r="T247" s="2" t="s">
        <v>45</v>
      </c>
    </row>
    <row r="248" spans="1:20" x14ac:dyDescent="0.2">
      <c r="A248" s="2" t="s">
        <v>7</v>
      </c>
      <c r="B248" s="2" t="s">
        <v>51</v>
      </c>
      <c r="C248" s="2" t="s">
        <v>53</v>
      </c>
      <c r="D248" s="3">
        <v>416</v>
      </c>
      <c r="E248" s="3">
        <v>79</v>
      </c>
      <c r="F248" s="2" t="s">
        <v>36</v>
      </c>
      <c r="G248" s="3">
        <v>6.2986666666666663E-2</v>
      </c>
      <c r="H248" s="3">
        <v>5.5128778530112764E-3</v>
      </c>
      <c r="I248" s="3">
        <v>30</v>
      </c>
      <c r="J248" s="3">
        <v>2.2194466865548392E-4</v>
      </c>
      <c r="K248" s="3">
        <v>108.7</v>
      </c>
      <c r="L248" s="3">
        <v>11.55321023208124</v>
      </c>
      <c r="M248" s="3">
        <v>30</v>
      </c>
      <c r="N248" s="3">
        <v>0.99144161132893238</v>
      </c>
      <c r="O248" s="3">
        <v>7.5078130000000007E-2</v>
      </c>
      <c r="P248" s="3">
        <v>1.52481902755103E-4</v>
      </c>
      <c r="Q248" s="3">
        <f t="shared" si="6"/>
        <v>8160.9927310000012</v>
      </c>
      <c r="R248" s="3">
        <f t="shared" si="7"/>
        <v>867.39341972152556</v>
      </c>
      <c r="S248" s="2" t="s">
        <v>49</v>
      </c>
      <c r="T248" s="2" t="s">
        <v>46</v>
      </c>
    </row>
    <row r="249" spans="1:20" x14ac:dyDescent="0.2">
      <c r="A249" s="2" t="s">
        <v>8</v>
      </c>
      <c r="B249" s="2" t="s">
        <v>45</v>
      </c>
      <c r="C249" s="2" t="s">
        <v>54</v>
      </c>
      <c r="D249" s="3">
        <v>494</v>
      </c>
      <c r="E249" s="3">
        <v>79</v>
      </c>
      <c r="F249" s="2" t="s">
        <v>36</v>
      </c>
      <c r="G249" s="3">
        <v>3.3355999999999997E-2</v>
      </c>
      <c r="H249" s="3">
        <v>2.9791315244547364E-2</v>
      </c>
      <c r="I249" s="3">
        <v>30</v>
      </c>
      <c r="J249" s="3">
        <v>2.2194466865548392E-4</v>
      </c>
      <c r="K249" s="3">
        <v>25.766666666666666</v>
      </c>
      <c r="L249" s="3">
        <v>9.7627978685529602</v>
      </c>
      <c r="M249" s="3">
        <v>30</v>
      </c>
      <c r="N249" s="3">
        <v>0.99144161132893238</v>
      </c>
      <c r="O249" s="3">
        <v>8.7531250000000005E-2</v>
      </c>
      <c r="P249" s="3">
        <v>1.81295291111437E-4</v>
      </c>
      <c r="Q249" s="3">
        <f t="shared" si="6"/>
        <v>2255.3885416666667</v>
      </c>
      <c r="R249" s="3">
        <f t="shared" si="7"/>
        <v>854.54990093177628</v>
      </c>
      <c r="S249" s="2" t="s">
        <v>49</v>
      </c>
      <c r="T249" s="2" t="s">
        <v>45</v>
      </c>
    </row>
    <row r="250" spans="1:20" x14ac:dyDescent="0.2">
      <c r="A250" s="2" t="s">
        <v>9</v>
      </c>
      <c r="B250" s="2" t="s">
        <v>51</v>
      </c>
      <c r="C250" s="2" t="s">
        <v>53</v>
      </c>
      <c r="D250" s="3">
        <v>480</v>
      </c>
      <c r="E250" s="3">
        <v>79</v>
      </c>
      <c r="F250" s="2" t="s">
        <v>36</v>
      </c>
      <c r="G250" s="3">
        <v>7.8019999999999978E-2</v>
      </c>
      <c r="H250" s="3">
        <v>1.4451029951760069E-2</v>
      </c>
      <c r="I250" s="3">
        <v>30</v>
      </c>
      <c r="J250" s="3">
        <v>2.2194466865548392E-4</v>
      </c>
      <c r="K250" s="3">
        <v>74.3</v>
      </c>
      <c r="L250" s="3">
        <v>13.426714663932747</v>
      </c>
      <c r="M250" s="3">
        <v>30</v>
      </c>
      <c r="N250" s="3">
        <v>0.99144161132893238</v>
      </c>
      <c r="O250" s="3">
        <v>7.4953130000000007E-2</v>
      </c>
      <c r="P250" s="3">
        <v>1.5766559627439301E-4</v>
      </c>
      <c r="Q250" s="3">
        <f t="shared" si="6"/>
        <v>5569.0175590000008</v>
      </c>
      <c r="R250" s="3">
        <f t="shared" si="7"/>
        <v>1006.3742896786576</v>
      </c>
      <c r="S250" s="2" t="s">
        <v>49</v>
      </c>
      <c r="T250" s="2" t="s">
        <v>45</v>
      </c>
    </row>
    <row r="251" spans="1:20" x14ac:dyDescent="0.2">
      <c r="A251" s="2" t="s">
        <v>10</v>
      </c>
      <c r="B251" s="2" t="s">
        <v>45</v>
      </c>
      <c r="C251" s="2" t="s">
        <v>54</v>
      </c>
      <c r="D251" s="3">
        <v>480</v>
      </c>
      <c r="E251" s="3">
        <v>79</v>
      </c>
      <c r="F251" s="2" t="s">
        <v>36</v>
      </c>
      <c r="G251" s="3">
        <v>2.5277272727272728E-2</v>
      </c>
      <c r="H251" s="3">
        <v>2.2598590700592208E-2</v>
      </c>
      <c r="I251" s="3">
        <v>30</v>
      </c>
      <c r="J251" s="3">
        <v>2.2194466865548392E-4</v>
      </c>
      <c r="K251" s="3">
        <v>37.733333333333334</v>
      </c>
      <c r="L251" s="3">
        <v>12.852842314272571</v>
      </c>
      <c r="M251" s="3">
        <v>30</v>
      </c>
      <c r="N251" s="3">
        <v>0.99144161132893238</v>
      </c>
      <c r="O251" s="3">
        <v>9.3015630000000002E-2</v>
      </c>
      <c r="P251" s="3">
        <v>2.0165809408728E-4</v>
      </c>
      <c r="Q251" s="3">
        <f t="shared" si="6"/>
        <v>3509.7897720000001</v>
      </c>
      <c r="R251" s="3">
        <f t="shared" si="7"/>
        <v>1195.5152251527213</v>
      </c>
      <c r="S251" s="2" t="s">
        <v>49</v>
      </c>
      <c r="T251" s="2" t="s">
        <v>45</v>
      </c>
    </row>
    <row r="252" spans="1:20" x14ac:dyDescent="0.2">
      <c r="A252" s="2" t="s">
        <v>11</v>
      </c>
      <c r="B252" s="2" t="s">
        <v>45</v>
      </c>
      <c r="C252" s="2" t="s">
        <v>53</v>
      </c>
      <c r="D252" s="3">
        <v>480</v>
      </c>
      <c r="E252" s="3">
        <v>79</v>
      </c>
      <c r="F252" s="2" t="s">
        <v>36</v>
      </c>
      <c r="G252" s="3">
        <v>7.5976666666666665E-2</v>
      </c>
      <c r="H252" s="3">
        <v>2.1118075722523163E-2</v>
      </c>
      <c r="I252" s="3">
        <v>30</v>
      </c>
      <c r="J252" s="3">
        <v>2.2194466865548392E-4</v>
      </c>
      <c r="K252" s="3">
        <v>82.2</v>
      </c>
      <c r="L252" s="3">
        <v>16.158382757359519</v>
      </c>
      <c r="M252" s="3">
        <v>30</v>
      </c>
      <c r="N252" s="3">
        <v>0.99144161132893238</v>
      </c>
      <c r="O252" s="3">
        <v>7.2937500000000002E-2</v>
      </c>
      <c r="P252" s="3">
        <v>1.5757376773727899E-4</v>
      </c>
      <c r="Q252" s="3">
        <f t="shared" si="6"/>
        <v>5995.4625000000005</v>
      </c>
      <c r="R252" s="3">
        <f t="shared" si="7"/>
        <v>1178.55204236491</v>
      </c>
      <c r="S252" s="2" t="s">
        <v>49</v>
      </c>
      <c r="T252" s="2" t="s">
        <v>45</v>
      </c>
    </row>
    <row r="253" spans="1:20" x14ac:dyDescent="0.2">
      <c r="A253" s="2" t="s">
        <v>12</v>
      </c>
      <c r="B253" s="2" t="s">
        <v>51</v>
      </c>
      <c r="C253" s="2" t="s">
        <v>54</v>
      </c>
      <c r="D253" s="3">
        <v>416</v>
      </c>
      <c r="E253" s="3">
        <v>79</v>
      </c>
      <c r="F253" s="2" t="s">
        <v>36</v>
      </c>
      <c r="G253" s="3">
        <v>1.6573333333333332E-2</v>
      </c>
      <c r="H253" s="3">
        <v>1.454972928346855E-2</v>
      </c>
      <c r="I253" s="3">
        <v>30</v>
      </c>
      <c r="J253" s="3">
        <v>2.2194466865548392E-4</v>
      </c>
      <c r="K253" s="3">
        <v>114.96666666666668</v>
      </c>
      <c r="L253" s="3">
        <v>9.0975576698120246</v>
      </c>
      <c r="M253" s="3">
        <v>30</v>
      </c>
      <c r="N253" s="3">
        <v>0.99144161132893238</v>
      </c>
      <c r="O253" s="3">
        <v>8.9187500000000003E-2</v>
      </c>
      <c r="P253" s="3">
        <v>1.7684018630718999E-4</v>
      </c>
      <c r="Q253" s="3">
        <f t="shared" si="6"/>
        <v>10253.589583333336</v>
      </c>
      <c r="R253" s="3">
        <f t="shared" si="7"/>
        <v>811.38842467635993</v>
      </c>
      <c r="S253" s="2" t="s">
        <v>49</v>
      </c>
      <c r="T253" s="2" t="s">
        <v>46</v>
      </c>
    </row>
    <row r="254" spans="1:20" x14ac:dyDescent="0.2">
      <c r="A254" s="2" t="s">
        <v>13</v>
      </c>
      <c r="B254" s="2" t="s">
        <v>45</v>
      </c>
      <c r="C254" s="2" t="s">
        <v>54</v>
      </c>
      <c r="D254" s="3">
        <v>416</v>
      </c>
      <c r="E254" s="3">
        <v>79</v>
      </c>
      <c r="F254" s="2" t="s">
        <v>36</v>
      </c>
      <c r="G254" s="3">
        <v>1.7156666666666664E-2</v>
      </c>
      <c r="H254" s="3">
        <v>1.0498434274796515E-2</v>
      </c>
      <c r="I254" s="3">
        <v>30</v>
      </c>
      <c r="J254" s="3">
        <v>2.2194466865548392E-4</v>
      </c>
      <c r="K254" s="3">
        <v>91.966666666666683</v>
      </c>
      <c r="L254" s="3">
        <v>14.032066451128602</v>
      </c>
      <c r="M254" s="3">
        <v>30</v>
      </c>
      <c r="N254" s="3">
        <v>0.99144161132893238</v>
      </c>
      <c r="O254" s="3">
        <v>8.8937509999999997E-2</v>
      </c>
      <c r="P254" s="3">
        <v>1.74885857609428E-4</v>
      </c>
      <c r="Q254" s="3">
        <f t="shared" si="6"/>
        <v>8179.2863363333345</v>
      </c>
      <c r="R254" s="3">
        <f t="shared" si="7"/>
        <v>1247.9770503179145</v>
      </c>
      <c r="S254" s="2" t="s">
        <v>49</v>
      </c>
      <c r="T254" s="2" t="s">
        <v>46</v>
      </c>
    </row>
    <row r="255" spans="1:20" x14ac:dyDescent="0.2">
      <c r="A255" s="2" t="s">
        <v>14</v>
      </c>
      <c r="B255" s="2" t="s">
        <v>45</v>
      </c>
      <c r="C255" s="2" t="s">
        <v>53</v>
      </c>
      <c r="D255" s="3">
        <v>416</v>
      </c>
      <c r="E255" s="3">
        <v>79</v>
      </c>
      <c r="F255" s="2" t="s">
        <v>36</v>
      </c>
      <c r="G255" s="3">
        <v>5.6596666666666656E-2</v>
      </c>
      <c r="H255" s="3">
        <v>1.2193645430669571E-2</v>
      </c>
      <c r="I255" s="3">
        <v>30</v>
      </c>
      <c r="J255" s="3">
        <v>2.2194466865548392E-4</v>
      </c>
      <c r="K255" s="3">
        <v>106.3</v>
      </c>
      <c r="L255" s="3">
        <v>8.7869221004854712</v>
      </c>
      <c r="M255" s="3">
        <v>30</v>
      </c>
      <c r="N255" s="3">
        <v>0.99144161132893238</v>
      </c>
      <c r="O255" s="3">
        <v>7.7046879999999998E-2</v>
      </c>
      <c r="P255" s="3">
        <v>1.57109793395073E-4</v>
      </c>
      <c r="Q255" s="3">
        <f t="shared" si="6"/>
        <v>8190.0833439999997</v>
      </c>
      <c r="R255" s="3">
        <f t="shared" si="7"/>
        <v>677.00493264545207</v>
      </c>
      <c r="S255" s="2" t="s">
        <v>49</v>
      </c>
      <c r="T255" s="2" t="s">
        <v>46</v>
      </c>
    </row>
    <row r="256" spans="1:20" x14ac:dyDescent="0.2">
      <c r="A256" s="2" t="s">
        <v>15</v>
      </c>
      <c r="B256" s="2" t="s">
        <v>51</v>
      </c>
      <c r="C256" s="2" t="s">
        <v>53</v>
      </c>
      <c r="D256" s="3">
        <v>432</v>
      </c>
      <c r="E256" s="3">
        <v>79</v>
      </c>
      <c r="F256" s="2" t="s">
        <v>36</v>
      </c>
      <c r="G256" s="3">
        <v>9.2696666666666677E-2</v>
      </c>
      <c r="H256" s="3">
        <v>1.3913649972439138E-2</v>
      </c>
      <c r="I256" s="3">
        <v>30</v>
      </c>
      <c r="J256" s="3">
        <v>2.2194466865548392E-4</v>
      </c>
      <c r="K256" s="3">
        <v>94.033333333333317</v>
      </c>
      <c r="L256" s="3">
        <v>15.100735817244876</v>
      </c>
      <c r="M256" s="3">
        <v>30</v>
      </c>
      <c r="N256" s="3">
        <v>0.99144161132893238</v>
      </c>
      <c r="O256" s="3">
        <v>7.8953129999999996E-2</v>
      </c>
      <c r="P256" s="3">
        <v>1.5900584015262701E-4</v>
      </c>
      <c r="Q256" s="3">
        <f t="shared" si="6"/>
        <v>7424.2259909999984</v>
      </c>
      <c r="R256" s="3">
        <f t="shared" si="7"/>
        <v>1192.2503580745908</v>
      </c>
      <c r="S256" s="2" t="s">
        <v>49</v>
      </c>
      <c r="T256" s="2" t="s">
        <v>45</v>
      </c>
    </row>
    <row r="257" spans="1:20" x14ac:dyDescent="0.2">
      <c r="A257" s="2" t="s">
        <v>16</v>
      </c>
      <c r="B257" s="2" t="s">
        <v>45</v>
      </c>
      <c r="C257" s="2" t="s">
        <v>53</v>
      </c>
      <c r="D257" s="3">
        <v>432</v>
      </c>
      <c r="E257" s="3">
        <v>79</v>
      </c>
      <c r="F257" s="2" t="s">
        <v>36</v>
      </c>
      <c r="G257" s="3">
        <v>5.856999999999999E-2</v>
      </c>
      <c r="H257" s="3">
        <v>1.2679068051977108E-2</v>
      </c>
      <c r="I257" s="3">
        <v>30</v>
      </c>
      <c r="J257" s="3">
        <v>2.2194466865548392E-4</v>
      </c>
      <c r="K257" s="3">
        <v>111.76666666666668</v>
      </c>
      <c r="L257" s="3">
        <v>10.108357378372061</v>
      </c>
      <c r="M257" s="3">
        <v>30</v>
      </c>
      <c r="N257" s="3">
        <v>0.99144161132893238</v>
      </c>
      <c r="O257" s="3">
        <v>7.8375E-2</v>
      </c>
      <c r="P257" s="3">
        <v>1.66873495802269E-4</v>
      </c>
      <c r="Q257" s="3">
        <f t="shared" si="6"/>
        <v>8759.7125000000015</v>
      </c>
      <c r="R257" s="3">
        <f t="shared" si="7"/>
        <v>792.24250952991019</v>
      </c>
      <c r="S257" s="2" t="s">
        <v>49</v>
      </c>
      <c r="T257" s="2" t="s">
        <v>45</v>
      </c>
    </row>
    <row r="258" spans="1:20" x14ac:dyDescent="0.2">
      <c r="A258" s="2" t="s">
        <v>1</v>
      </c>
      <c r="B258" s="2" t="s">
        <v>51</v>
      </c>
      <c r="C258" s="2" t="s">
        <v>53</v>
      </c>
      <c r="D258" s="3">
        <v>443</v>
      </c>
      <c r="E258" s="3">
        <v>99</v>
      </c>
      <c r="F258" s="2" t="s">
        <v>42</v>
      </c>
      <c r="G258" s="3">
        <v>0.12341333333333332</v>
      </c>
      <c r="H258" s="3">
        <v>2.4009785967855315E-2</v>
      </c>
      <c r="I258" s="3">
        <v>30</v>
      </c>
      <c r="J258" s="3">
        <v>5.2449426388643573E-4</v>
      </c>
      <c r="K258" s="3">
        <v>120.2</v>
      </c>
      <c r="L258" s="3">
        <v>6.5442086356309472</v>
      </c>
      <c r="M258" s="3">
        <v>30</v>
      </c>
      <c r="N258" s="3">
        <v>0.3247126287871569</v>
      </c>
      <c r="O258" s="3">
        <v>9.1921879999999997E-2</v>
      </c>
      <c r="P258" s="3">
        <v>1.8928971165742801E-4</v>
      </c>
      <c r="Q258" s="3">
        <f t="shared" si="6"/>
        <v>11049.009975999999</v>
      </c>
      <c r="R258" s="3">
        <f t="shared" si="7"/>
        <v>601.55596089943162</v>
      </c>
      <c r="S258" s="2" t="s">
        <v>49</v>
      </c>
      <c r="T258" s="2" t="s">
        <v>45</v>
      </c>
    </row>
    <row r="259" spans="1:20" x14ac:dyDescent="0.2">
      <c r="A259" s="2" t="s">
        <v>2</v>
      </c>
      <c r="B259" s="2" t="s">
        <v>51</v>
      </c>
      <c r="C259" s="2" t="s">
        <v>54</v>
      </c>
      <c r="D259" s="3">
        <v>459</v>
      </c>
      <c r="E259" s="3">
        <v>99</v>
      </c>
      <c r="F259" s="2" t="s">
        <v>42</v>
      </c>
      <c r="G259" s="3">
        <v>5.9193333333333334E-2</v>
      </c>
      <c r="H259" s="3">
        <v>2.4501373204146921E-2</v>
      </c>
      <c r="I259" s="3">
        <v>30</v>
      </c>
      <c r="J259" s="3">
        <v>5.2449426388643573E-4</v>
      </c>
      <c r="K259" s="3">
        <v>106.3</v>
      </c>
      <c r="L259" s="3">
        <v>7.6382807838762607</v>
      </c>
      <c r="M259" s="3">
        <v>30</v>
      </c>
      <c r="N259" s="3">
        <v>0.3247126287871569</v>
      </c>
      <c r="O259" s="3">
        <v>9.4375009999999995E-2</v>
      </c>
      <c r="P259" s="3">
        <v>1.9882108891187299E-4</v>
      </c>
      <c r="Q259" s="3">
        <f t="shared" ref="Q259:Q322" si="8">K259*1000*O259</f>
        <v>10032.063563</v>
      </c>
      <c r="R259" s="3">
        <f t="shared" ref="R259:R322" si="9">L259*1000*O259</f>
        <v>720.86282536112992</v>
      </c>
      <c r="S259" s="2" t="s">
        <v>49</v>
      </c>
      <c r="T259" s="2" t="s">
        <v>45</v>
      </c>
    </row>
    <row r="260" spans="1:20" x14ac:dyDescent="0.2">
      <c r="A260" s="2" t="s">
        <v>3</v>
      </c>
      <c r="B260" s="2" t="s">
        <v>45</v>
      </c>
      <c r="C260" s="2" t="s">
        <v>54</v>
      </c>
      <c r="D260" s="3">
        <v>440</v>
      </c>
      <c r="E260" s="3">
        <v>99</v>
      </c>
      <c r="F260" s="2" t="s">
        <v>42</v>
      </c>
      <c r="G260" s="3">
        <v>3.5586666666666669E-2</v>
      </c>
      <c r="H260" s="3">
        <v>1.0267642810737471E-2</v>
      </c>
      <c r="I260" s="3">
        <v>30</v>
      </c>
      <c r="J260" s="3">
        <v>5.2449426388643573E-4</v>
      </c>
      <c r="K260" s="3">
        <v>129.66666666666666</v>
      </c>
      <c r="L260" s="3">
        <v>8.307961375826336</v>
      </c>
      <c r="M260" s="3">
        <v>30</v>
      </c>
      <c r="N260" s="3">
        <v>0.3247126287871569</v>
      </c>
      <c r="O260" s="3">
        <v>8.9656260000000002E-2</v>
      </c>
      <c r="P260" s="3">
        <v>1.8602079547522601E-4</v>
      </c>
      <c r="Q260" s="3">
        <f t="shared" si="8"/>
        <v>11625.428379999999</v>
      </c>
      <c r="R260" s="3">
        <f t="shared" si="9"/>
        <v>744.86074518104374</v>
      </c>
      <c r="S260" s="2" t="s">
        <v>49</v>
      </c>
      <c r="T260" s="2" t="s">
        <v>45</v>
      </c>
    </row>
    <row r="261" spans="1:20" x14ac:dyDescent="0.2">
      <c r="A261" s="2" t="s">
        <v>4</v>
      </c>
      <c r="B261" s="2" t="s">
        <v>45</v>
      </c>
      <c r="C261" s="2" t="s">
        <v>53</v>
      </c>
      <c r="D261" s="3">
        <v>440</v>
      </c>
      <c r="E261" s="3">
        <v>99</v>
      </c>
      <c r="F261" s="2" t="s">
        <v>42</v>
      </c>
      <c r="G261" s="3">
        <v>4.704333333333334E-2</v>
      </c>
      <c r="H261" s="3">
        <v>2.0441879941814442E-2</v>
      </c>
      <c r="I261" s="3">
        <v>30</v>
      </c>
      <c r="J261" s="3">
        <v>5.2449426388643573E-4</v>
      </c>
      <c r="K261" s="3">
        <v>124.06666666666666</v>
      </c>
      <c r="L261" s="3">
        <v>6.7425679249246144</v>
      </c>
      <c r="M261" s="3">
        <v>30</v>
      </c>
      <c r="N261" s="3">
        <v>0.3247126287871569</v>
      </c>
      <c r="O261" s="3">
        <v>9.2593750000000002E-2</v>
      </c>
      <c r="P261" s="3">
        <v>1.95775577415981E-4</v>
      </c>
      <c r="Q261" s="3">
        <f t="shared" si="8"/>
        <v>11487.797916666666</v>
      </c>
      <c r="R261" s="3">
        <f t="shared" si="9"/>
        <v>624.31964879848852</v>
      </c>
      <c r="S261" s="2" t="s">
        <v>49</v>
      </c>
      <c r="T261" s="2" t="s">
        <v>45</v>
      </c>
    </row>
    <row r="262" spans="1:20" x14ac:dyDescent="0.2">
      <c r="A262" s="2" t="s">
        <v>5</v>
      </c>
      <c r="B262" s="2" t="s">
        <v>51</v>
      </c>
      <c r="C262" s="2" t="s">
        <v>53</v>
      </c>
      <c r="D262" s="3">
        <v>459</v>
      </c>
      <c r="E262" s="3">
        <v>99</v>
      </c>
      <c r="F262" s="2" t="s">
        <v>42</v>
      </c>
      <c r="G262" s="3">
        <v>8.7473333333333347E-2</v>
      </c>
      <c r="H262" s="3">
        <v>3.283536643451522E-2</v>
      </c>
      <c r="I262" s="3">
        <v>30</v>
      </c>
      <c r="J262" s="3">
        <v>5.2449426388643573E-4</v>
      </c>
      <c r="K262" s="3">
        <v>97.36666666666666</v>
      </c>
      <c r="L262" s="3">
        <v>17.079194620616303</v>
      </c>
      <c r="M262" s="3">
        <v>30</v>
      </c>
      <c r="N262" s="3">
        <v>0.3247126287871569</v>
      </c>
      <c r="O262" s="3">
        <v>8.7515629999999997E-2</v>
      </c>
      <c r="P262" s="3">
        <v>1.8133155678522401E-4</v>
      </c>
      <c r="Q262" s="3">
        <f t="shared" si="8"/>
        <v>8521.1051743333319</v>
      </c>
      <c r="R262" s="3">
        <f t="shared" si="9"/>
        <v>1494.6964771158466</v>
      </c>
      <c r="S262" s="2" t="s">
        <v>49</v>
      </c>
      <c r="T262" s="2" t="s">
        <v>45</v>
      </c>
    </row>
    <row r="263" spans="1:20" x14ac:dyDescent="0.2">
      <c r="A263" s="2" t="s">
        <v>6</v>
      </c>
      <c r="B263" s="2" t="s">
        <v>45</v>
      </c>
      <c r="C263" s="2" t="s">
        <v>54</v>
      </c>
      <c r="D263" s="3">
        <v>446</v>
      </c>
      <c r="E263" s="3">
        <v>99</v>
      </c>
      <c r="F263" s="2" t="s">
        <v>42</v>
      </c>
      <c r="G263" s="3">
        <v>1.7809999999999999E-2</v>
      </c>
      <c r="H263" s="3">
        <v>4.0682797347281812E-3</v>
      </c>
      <c r="I263" s="3">
        <v>30</v>
      </c>
      <c r="J263" s="3">
        <v>5.2449426388643573E-4</v>
      </c>
      <c r="K263" s="3">
        <v>110.93333333333334</v>
      </c>
      <c r="L263" s="3">
        <v>5.9269628722380983</v>
      </c>
      <c r="M263" s="3">
        <v>30</v>
      </c>
      <c r="N263" s="3">
        <v>0.3247126287871569</v>
      </c>
      <c r="O263" s="3">
        <v>9.3906249999999997E-2</v>
      </c>
      <c r="P263" s="3">
        <v>1.9658883623478699E-4</v>
      </c>
      <c r="Q263" s="3">
        <f t="shared" si="8"/>
        <v>10417.333333333334</v>
      </c>
      <c r="R263" s="3">
        <f t="shared" si="9"/>
        <v>556.57885722110893</v>
      </c>
      <c r="S263" s="2" t="s">
        <v>49</v>
      </c>
      <c r="T263" s="2" t="s">
        <v>45</v>
      </c>
    </row>
    <row r="264" spans="1:20" x14ac:dyDescent="0.2">
      <c r="A264" s="2" t="s">
        <v>7</v>
      </c>
      <c r="B264" s="2" t="s">
        <v>51</v>
      </c>
      <c r="C264" s="2" t="s">
        <v>53</v>
      </c>
      <c r="D264" s="3">
        <v>416</v>
      </c>
      <c r="E264" s="3">
        <v>99</v>
      </c>
      <c r="F264" s="2" t="s">
        <v>42</v>
      </c>
      <c r="G264" s="3">
        <v>0.12821333333333337</v>
      </c>
      <c r="H264" s="3">
        <v>2.113494315635181E-2</v>
      </c>
      <c r="I264" s="3">
        <v>30</v>
      </c>
      <c r="J264" s="3">
        <v>5.2449426388643573E-4</v>
      </c>
      <c r="K264" s="3">
        <v>111.86666666666666</v>
      </c>
      <c r="L264" s="3">
        <v>12.233106264922617</v>
      </c>
      <c r="M264" s="3">
        <v>30</v>
      </c>
      <c r="N264" s="3">
        <v>0.3247126287871569</v>
      </c>
      <c r="O264" s="3">
        <v>9.2484380000000005E-2</v>
      </c>
      <c r="P264" s="3">
        <v>1.8783358399478001E-4</v>
      </c>
      <c r="Q264" s="3">
        <f t="shared" si="8"/>
        <v>10345.919309333332</v>
      </c>
      <c r="R264" s="3">
        <f t="shared" si="9"/>
        <v>1131.371248385484</v>
      </c>
      <c r="S264" s="2" t="s">
        <v>49</v>
      </c>
      <c r="T264" s="2" t="s">
        <v>46</v>
      </c>
    </row>
    <row r="265" spans="1:20" x14ac:dyDescent="0.2">
      <c r="A265" s="2" t="s">
        <v>8</v>
      </c>
      <c r="B265" s="2" t="s">
        <v>45</v>
      </c>
      <c r="C265" s="2" t="s">
        <v>54</v>
      </c>
      <c r="D265" s="3">
        <v>494</v>
      </c>
      <c r="E265" s="3">
        <v>99</v>
      </c>
      <c r="F265" s="2" t="s">
        <v>42</v>
      </c>
      <c r="G265" s="3">
        <v>2.1283333333333335E-2</v>
      </c>
      <c r="H265" s="3">
        <v>1.0824511792942698E-2</v>
      </c>
      <c r="I265" s="3">
        <v>30</v>
      </c>
      <c r="J265" s="3">
        <v>5.2449426388643573E-4</v>
      </c>
      <c r="K265" s="3">
        <v>130.73333333333332</v>
      </c>
      <c r="L265" s="3">
        <v>7.1083675262952521</v>
      </c>
      <c r="M265" s="3">
        <v>30</v>
      </c>
      <c r="N265" s="3">
        <v>0.3247126287871569</v>
      </c>
      <c r="O265" s="3">
        <v>9.2781249999999996E-2</v>
      </c>
      <c r="P265" s="3">
        <v>1.9216912506599701E-4</v>
      </c>
      <c r="Q265" s="3">
        <f t="shared" si="8"/>
        <v>12129.602083333331</v>
      </c>
      <c r="R265" s="3">
        <f t="shared" si="9"/>
        <v>659.52322454908131</v>
      </c>
      <c r="S265" s="2" t="s">
        <v>49</v>
      </c>
      <c r="T265" s="2" t="s">
        <v>45</v>
      </c>
    </row>
    <row r="266" spans="1:20" x14ac:dyDescent="0.2">
      <c r="A266" s="2" t="s">
        <v>9</v>
      </c>
      <c r="B266" s="2" t="s">
        <v>51</v>
      </c>
      <c r="C266" s="2" t="s">
        <v>53</v>
      </c>
      <c r="D266" s="3">
        <v>480</v>
      </c>
      <c r="E266" s="3">
        <v>99</v>
      </c>
      <c r="F266" s="2" t="s">
        <v>42</v>
      </c>
      <c r="G266" s="3">
        <v>4.2326666666666665E-2</v>
      </c>
      <c r="H266" s="3">
        <v>3.0489429133535594E-2</v>
      </c>
      <c r="I266" s="3">
        <v>30</v>
      </c>
      <c r="J266" s="3">
        <v>5.2449426388643573E-4</v>
      </c>
      <c r="K266" s="3">
        <v>73.833333333333329</v>
      </c>
      <c r="L266" s="3">
        <v>10.930334954713064</v>
      </c>
      <c r="M266" s="3">
        <v>30</v>
      </c>
      <c r="N266" s="3">
        <v>0.3247126287871569</v>
      </c>
      <c r="O266" s="3">
        <v>8.6046880000000006E-2</v>
      </c>
      <c r="P266" s="3">
        <v>1.8100154913812299E-4</v>
      </c>
      <c r="Q266" s="3">
        <f t="shared" si="8"/>
        <v>6353.1279733333331</v>
      </c>
      <c r="R266" s="3">
        <f t="shared" si="9"/>
        <v>940.5212202080005</v>
      </c>
      <c r="S266" s="2" t="s">
        <v>49</v>
      </c>
      <c r="T266" s="2" t="s">
        <v>45</v>
      </c>
    </row>
    <row r="267" spans="1:20" x14ac:dyDescent="0.2">
      <c r="A267" s="2" t="s">
        <v>10</v>
      </c>
      <c r="B267" s="2" t="s">
        <v>45</v>
      </c>
      <c r="C267" s="2" t="s">
        <v>54</v>
      </c>
      <c r="D267" s="3">
        <v>480</v>
      </c>
      <c r="E267" s="3">
        <v>99</v>
      </c>
      <c r="F267" s="2" t="s">
        <v>42</v>
      </c>
      <c r="G267" s="3">
        <v>1.3496666666666665E-2</v>
      </c>
      <c r="H267" s="3">
        <v>3.5086068776969334E-3</v>
      </c>
      <c r="I267" s="3">
        <v>30</v>
      </c>
      <c r="J267" s="3">
        <v>5.2449426388643573E-4</v>
      </c>
      <c r="K267" s="3">
        <v>118.4</v>
      </c>
      <c r="L267" s="3">
        <v>6.8537094579018536</v>
      </c>
      <c r="M267" s="3">
        <v>30</v>
      </c>
      <c r="N267" s="3">
        <v>0.3247126287871569</v>
      </c>
      <c r="O267" s="3">
        <v>9.021875E-2</v>
      </c>
      <c r="P267" s="3">
        <v>1.95594451985509E-4</v>
      </c>
      <c r="Q267" s="3">
        <f t="shared" si="8"/>
        <v>10681.9</v>
      </c>
      <c r="R267" s="3">
        <f t="shared" si="9"/>
        <v>618.33310015508289</v>
      </c>
      <c r="S267" s="2" t="s">
        <v>49</v>
      </c>
      <c r="T267" s="2" t="s">
        <v>45</v>
      </c>
    </row>
    <row r="268" spans="1:20" x14ac:dyDescent="0.2">
      <c r="A268" s="2" t="s">
        <v>11</v>
      </c>
      <c r="B268" s="2" t="s">
        <v>45</v>
      </c>
      <c r="C268" s="2" t="s">
        <v>53</v>
      </c>
      <c r="D268" s="3">
        <v>480</v>
      </c>
      <c r="E268" s="3">
        <v>99</v>
      </c>
      <c r="F268" s="2" t="s">
        <v>42</v>
      </c>
      <c r="G268" s="3">
        <v>7.0103333333333351E-2</v>
      </c>
      <c r="H268" s="3">
        <v>2.6460983646787502E-2</v>
      </c>
      <c r="I268" s="3">
        <v>30</v>
      </c>
      <c r="J268" s="3">
        <v>5.2449426388643573E-4</v>
      </c>
      <c r="K268" s="3">
        <v>119.63333333333334</v>
      </c>
      <c r="L268" s="3">
        <v>5.2629733885788257</v>
      </c>
      <c r="M268" s="3">
        <v>30</v>
      </c>
      <c r="N268" s="3">
        <v>0.3247126287871569</v>
      </c>
      <c r="O268" s="3">
        <v>9.3562510000000002E-2</v>
      </c>
      <c r="P268" s="3">
        <v>2.02131924176958E-4</v>
      </c>
      <c r="Q268" s="3">
        <f t="shared" si="8"/>
        <v>11193.194946333335</v>
      </c>
      <c r="R268" s="3">
        <f t="shared" si="9"/>
        <v>492.41700029864023</v>
      </c>
      <c r="S268" s="2" t="s">
        <v>49</v>
      </c>
      <c r="T268" s="2" t="s">
        <v>45</v>
      </c>
    </row>
    <row r="269" spans="1:20" x14ac:dyDescent="0.2">
      <c r="A269" s="2" t="s">
        <v>12</v>
      </c>
      <c r="B269" s="2" t="s">
        <v>51</v>
      </c>
      <c r="C269" s="2" t="s">
        <v>54</v>
      </c>
      <c r="D269" s="3">
        <v>416</v>
      </c>
      <c r="E269" s="3">
        <v>99</v>
      </c>
      <c r="F269" s="2" t="s">
        <v>42</v>
      </c>
      <c r="G269" s="3">
        <v>4.0719999999999999E-2</v>
      </c>
      <c r="H269" s="3">
        <v>1.1715072911993904E-2</v>
      </c>
      <c r="I269" s="3">
        <v>30</v>
      </c>
      <c r="J269" s="3">
        <v>5.2449426388643573E-4</v>
      </c>
      <c r="K269" s="3">
        <v>115.46666666666668</v>
      </c>
      <c r="L269" s="3">
        <v>6.0703285651510566</v>
      </c>
      <c r="M269" s="3">
        <v>30</v>
      </c>
      <c r="N269" s="3">
        <v>0.3247126287871569</v>
      </c>
      <c r="O269" s="3">
        <v>9.803125E-2</v>
      </c>
      <c r="P269" s="3">
        <v>1.9437549560114101E-4</v>
      </c>
      <c r="Q269" s="3">
        <f t="shared" si="8"/>
        <v>11319.341666666669</v>
      </c>
      <c r="R269" s="3">
        <f t="shared" si="9"/>
        <v>595.08189715246453</v>
      </c>
      <c r="S269" s="2" t="s">
        <v>49</v>
      </c>
      <c r="T269" s="2" t="s">
        <v>46</v>
      </c>
    </row>
    <row r="270" spans="1:20" x14ac:dyDescent="0.2">
      <c r="A270" s="2" t="s">
        <v>13</v>
      </c>
      <c r="B270" s="2" t="s">
        <v>45</v>
      </c>
      <c r="C270" s="2" t="s">
        <v>54</v>
      </c>
      <c r="D270" s="3">
        <v>416</v>
      </c>
      <c r="E270" s="3">
        <v>99</v>
      </c>
      <c r="F270" s="2" t="s">
        <v>42</v>
      </c>
      <c r="G270" s="3">
        <v>3.5503333333333338E-2</v>
      </c>
      <c r="H270" s="3">
        <v>8.3986301793142967E-3</v>
      </c>
      <c r="I270" s="3">
        <v>30</v>
      </c>
      <c r="J270" s="3">
        <v>5.2449426388643573E-4</v>
      </c>
      <c r="K270" s="3">
        <v>98.76666666666668</v>
      </c>
      <c r="L270" s="3">
        <v>6.0535572645805171</v>
      </c>
      <c r="M270" s="3">
        <v>30</v>
      </c>
      <c r="N270" s="3">
        <v>0.3247126287871569</v>
      </c>
      <c r="O270" s="3">
        <v>9.6593750000000006E-2</v>
      </c>
      <c r="P270" s="3">
        <v>1.8994101373493301E-4</v>
      </c>
      <c r="Q270" s="3">
        <f t="shared" si="8"/>
        <v>9540.242708333335</v>
      </c>
      <c r="R270" s="3">
        <f t="shared" si="9"/>
        <v>584.73579702557436</v>
      </c>
      <c r="S270" s="2" t="s">
        <v>49</v>
      </c>
      <c r="T270" s="2" t="s">
        <v>46</v>
      </c>
    </row>
    <row r="271" spans="1:20" x14ac:dyDescent="0.2">
      <c r="A271" s="2" t="s">
        <v>14</v>
      </c>
      <c r="B271" s="2" t="s">
        <v>45</v>
      </c>
      <c r="C271" s="2" t="s">
        <v>53</v>
      </c>
      <c r="D271" s="3">
        <v>416</v>
      </c>
      <c r="E271" s="3">
        <v>99</v>
      </c>
      <c r="F271" s="2" t="s">
        <v>42</v>
      </c>
      <c r="G271" s="3">
        <v>9.6776666666666664E-2</v>
      </c>
      <c r="H271" s="3">
        <v>3.1120643559469578E-2</v>
      </c>
      <c r="I271" s="3">
        <v>30</v>
      </c>
      <c r="J271" s="3">
        <v>5.2449426388643573E-4</v>
      </c>
      <c r="K271" s="3">
        <v>114.26666666666668</v>
      </c>
      <c r="L271" s="3">
        <v>6.2818963874153653</v>
      </c>
      <c r="M271" s="3">
        <v>30</v>
      </c>
      <c r="N271" s="3">
        <v>0.3247126287871569</v>
      </c>
      <c r="O271" s="3">
        <v>9.3734380000000006E-2</v>
      </c>
      <c r="P271" s="3">
        <v>1.9113803279010501E-4</v>
      </c>
      <c r="Q271" s="3">
        <f t="shared" si="8"/>
        <v>10710.71515466667</v>
      </c>
      <c r="R271" s="3">
        <f t="shared" si="9"/>
        <v>588.82966309861911</v>
      </c>
      <c r="S271" s="2" t="s">
        <v>49</v>
      </c>
      <c r="T271" s="2" t="s">
        <v>46</v>
      </c>
    </row>
    <row r="272" spans="1:20" x14ac:dyDescent="0.2">
      <c r="A272" s="2" t="s">
        <v>15</v>
      </c>
      <c r="B272" s="2" t="s">
        <v>51</v>
      </c>
      <c r="C272" s="2" t="s">
        <v>53</v>
      </c>
      <c r="D272" s="3">
        <v>432</v>
      </c>
      <c r="E272" s="3">
        <v>99</v>
      </c>
      <c r="F272" s="2" t="s">
        <v>42</v>
      </c>
      <c r="G272" s="3">
        <v>0.10170333333333334</v>
      </c>
      <c r="H272" s="3">
        <v>2.3018434399893973E-2</v>
      </c>
      <c r="I272" s="3">
        <v>30</v>
      </c>
      <c r="J272" s="3">
        <v>5.2449426388643573E-4</v>
      </c>
      <c r="K272" s="3">
        <v>109.93333333333334</v>
      </c>
      <c r="L272" s="3">
        <v>5.6150591171321498</v>
      </c>
      <c r="M272" s="3">
        <v>30</v>
      </c>
      <c r="N272" s="3">
        <v>0.3247126287871569</v>
      </c>
      <c r="O272" s="3">
        <v>8.7656250000000005E-2</v>
      </c>
      <c r="P272" s="3">
        <v>1.7653328849506899E-4</v>
      </c>
      <c r="Q272" s="3">
        <f t="shared" si="8"/>
        <v>9636.3437500000018</v>
      </c>
      <c r="R272" s="3">
        <f t="shared" si="9"/>
        <v>492.19502573611499</v>
      </c>
      <c r="S272" s="2" t="s">
        <v>49</v>
      </c>
      <c r="T272" s="2" t="s">
        <v>45</v>
      </c>
    </row>
    <row r="273" spans="1:20" x14ac:dyDescent="0.2">
      <c r="A273" s="2" t="s">
        <v>16</v>
      </c>
      <c r="B273" s="2" t="s">
        <v>45</v>
      </c>
      <c r="C273" s="2" t="s">
        <v>53</v>
      </c>
      <c r="D273" s="3">
        <v>432</v>
      </c>
      <c r="E273" s="3">
        <v>99</v>
      </c>
      <c r="F273" s="2" t="s">
        <v>42</v>
      </c>
      <c r="G273" s="3">
        <v>0.10991999999999998</v>
      </c>
      <c r="H273" s="3">
        <v>4.3063104083813253E-2</v>
      </c>
      <c r="I273" s="3">
        <v>30</v>
      </c>
      <c r="J273" s="3">
        <v>5.2449426388643573E-4</v>
      </c>
      <c r="K273" s="3">
        <v>106.23333333333332</v>
      </c>
      <c r="L273" s="3">
        <v>7.7918048116095813</v>
      </c>
      <c r="M273" s="3">
        <v>30</v>
      </c>
      <c r="N273" s="3">
        <v>0.3247126287871569</v>
      </c>
      <c r="O273" s="3">
        <v>9.4953129999999997E-2</v>
      </c>
      <c r="P273" s="3">
        <v>2.0217110992621699E-4</v>
      </c>
      <c r="Q273" s="3">
        <f t="shared" si="8"/>
        <v>10087.187510333331</v>
      </c>
      <c r="R273" s="3">
        <f t="shared" si="9"/>
        <v>739.85625521139002</v>
      </c>
      <c r="S273" s="2" t="s">
        <v>49</v>
      </c>
      <c r="T273" s="2" t="s">
        <v>45</v>
      </c>
    </row>
    <row r="274" spans="1:20" x14ac:dyDescent="0.2">
      <c r="A274" s="2" t="s">
        <v>1</v>
      </c>
      <c r="B274" s="2" t="s">
        <v>51</v>
      </c>
      <c r="C274" s="2" t="s">
        <v>53</v>
      </c>
      <c r="D274" s="3">
        <v>443</v>
      </c>
      <c r="E274" s="3">
        <v>110</v>
      </c>
      <c r="F274" s="2" t="s">
        <v>38</v>
      </c>
      <c r="G274" s="3">
        <v>4.6770000000000006E-2</v>
      </c>
      <c r="H274" s="3">
        <v>2.6680544097400512E-2</v>
      </c>
      <c r="I274" s="3">
        <v>30</v>
      </c>
      <c r="J274" s="3">
        <v>4.5795451673233713E-2</v>
      </c>
      <c r="K274" s="3">
        <v>89.7</v>
      </c>
      <c r="L274" s="3">
        <v>13.434160437729878</v>
      </c>
      <c r="M274" s="3">
        <v>30</v>
      </c>
      <c r="N274" s="3">
        <v>0.85752327846284526</v>
      </c>
      <c r="O274" s="3">
        <v>0.32751560000000002</v>
      </c>
      <c r="P274" s="3">
        <v>6.7443500380224696E-4</v>
      </c>
      <c r="Q274" s="3">
        <f t="shared" si="8"/>
        <v>29378.14932</v>
      </c>
      <c r="R274" s="3">
        <f t="shared" si="9"/>
        <v>4399.8971162593634</v>
      </c>
      <c r="S274" s="2" t="s">
        <v>49</v>
      </c>
      <c r="T274" s="2" t="s">
        <v>45</v>
      </c>
    </row>
    <row r="275" spans="1:20" x14ac:dyDescent="0.2">
      <c r="A275" s="2" t="s">
        <v>2</v>
      </c>
      <c r="B275" s="2" t="s">
        <v>51</v>
      </c>
      <c r="C275" s="2" t="s">
        <v>54</v>
      </c>
      <c r="D275" s="3">
        <v>459</v>
      </c>
      <c r="E275" s="3">
        <v>110</v>
      </c>
      <c r="F275" s="2" t="s">
        <v>38</v>
      </c>
      <c r="G275" s="3">
        <v>9.8919999999999994E-2</v>
      </c>
      <c r="H275" s="3">
        <v>2.3299333323795628E-2</v>
      </c>
      <c r="I275" s="3">
        <v>30</v>
      </c>
      <c r="J275" s="3">
        <v>4.5795451673233713E-2</v>
      </c>
      <c r="K275" s="3">
        <v>118</v>
      </c>
      <c r="L275" s="3">
        <v>12.022201684106507</v>
      </c>
      <c r="M275" s="3">
        <v>30</v>
      </c>
      <c r="N275" s="3">
        <v>0.85752327846284526</v>
      </c>
      <c r="O275" s="3">
        <v>0.38703130000000002</v>
      </c>
      <c r="P275" s="3">
        <v>8.1536398787113097E-4</v>
      </c>
      <c r="Q275" s="3">
        <f t="shared" si="8"/>
        <v>45669.693400000004</v>
      </c>
      <c r="R275" s="3">
        <f t="shared" si="9"/>
        <v>4652.9683466619308</v>
      </c>
      <c r="S275" s="2" t="s">
        <v>49</v>
      </c>
      <c r="T275" s="2" t="s">
        <v>45</v>
      </c>
    </row>
    <row r="276" spans="1:20" x14ac:dyDescent="0.2">
      <c r="A276" s="2" t="s">
        <v>3</v>
      </c>
      <c r="B276" s="2" t="s">
        <v>45</v>
      </c>
      <c r="C276" s="2" t="s">
        <v>54</v>
      </c>
      <c r="D276" s="3">
        <v>440</v>
      </c>
      <c r="E276" s="3">
        <v>110</v>
      </c>
      <c r="F276" s="2" t="s">
        <v>38</v>
      </c>
      <c r="G276" s="3">
        <v>2.1416666666666671E-2</v>
      </c>
      <c r="H276" s="3">
        <v>1.245215063977125E-2</v>
      </c>
      <c r="I276" s="3">
        <v>30</v>
      </c>
      <c r="J276" s="3">
        <v>4.5795451673233713E-2</v>
      </c>
      <c r="K276" s="3">
        <v>141.26666666666668</v>
      </c>
      <c r="L276" s="3">
        <v>13.887484373428553</v>
      </c>
      <c r="M276" s="3">
        <v>30</v>
      </c>
      <c r="N276" s="3">
        <v>0.85752327846284526</v>
      </c>
      <c r="O276" s="3">
        <v>0.36956250000000002</v>
      </c>
      <c r="P276" s="3">
        <v>7.6677646633724599E-4</v>
      </c>
      <c r="Q276" s="3">
        <f t="shared" si="8"/>
        <v>52206.86250000001</v>
      </c>
      <c r="R276" s="3">
        <f t="shared" si="9"/>
        <v>5132.2934437551903</v>
      </c>
      <c r="S276" s="2" t="s">
        <v>49</v>
      </c>
      <c r="T276" s="2" t="s">
        <v>45</v>
      </c>
    </row>
    <row r="277" spans="1:20" x14ac:dyDescent="0.2">
      <c r="A277" s="2" t="s">
        <v>4</v>
      </c>
      <c r="B277" s="2" t="s">
        <v>45</v>
      </c>
      <c r="C277" s="2" t="s">
        <v>53</v>
      </c>
      <c r="D277" s="3">
        <v>440</v>
      </c>
      <c r="E277" s="3">
        <v>110</v>
      </c>
      <c r="F277" s="2" t="s">
        <v>38</v>
      </c>
      <c r="G277" s="3">
        <v>3.7613333333333339E-2</v>
      </c>
      <c r="H277" s="3">
        <v>2.5427579952135088E-2</v>
      </c>
      <c r="I277" s="3">
        <v>30</v>
      </c>
      <c r="J277" s="3">
        <v>4.5795451673233713E-2</v>
      </c>
      <c r="K277" s="3">
        <v>85.36666666666666</v>
      </c>
      <c r="L277" s="3">
        <v>16.242912984505651</v>
      </c>
      <c r="M277" s="3">
        <v>30</v>
      </c>
      <c r="N277" s="3">
        <v>0.85752327846284526</v>
      </c>
      <c r="O277" s="3">
        <v>0.32790629999999998</v>
      </c>
      <c r="P277" s="3">
        <v>6.9330862202727497E-4</v>
      </c>
      <c r="Q277" s="3">
        <f t="shared" si="8"/>
        <v>27992.267809999994</v>
      </c>
      <c r="R277" s="3">
        <f t="shared" si="9"/>
        <v>5326.1534979712051</v>
      </c>
      <c r="S277" s="2" t="s">
        <v>49</v>
      </c>
      <c r="T277" s="2" t="s">
        <v>45</v>
      </c>
    </row>
    <row r="278" spans="1:20" x14ac:dyDescent="0.2">
      <c r="A278" s="2" t="s">
        <v>5</v>
      </c>
      <c r="B278" s="2" t="s">
        <v>51</v>
      </c>
      <c r="C278" s="2" t="s">
        <v>53</v>
      </c>
      <c r="D278" s="3">
        <v>459</v>
      </c>
      <c r="E278" s="3">
        <v>110</v>
      </c>
      <c r="F278" s="2" t="s">
        <v>38</v>
      </c>
      <c r="G278" s="3">
        <v>5.0906666666666656E-2</v>
      </c>
      <c r="H278" s="3">
        <v>2.9081310531374308E-2</v>
      </c>
      <c r="I278" s="3">
        <v>30</v>
      </c>
      <c r="J278" s="3">
        <v>4.5795451673233713E-2</v>
      </c>
      <c r="K278" s="3">
        <v>85.733333333333334</v>
      </c>
      <c r="L278" s="3">
        <v>15.777480435382859</v>
      </c>
      <c r="M278" s="3">
        <v>30</v>
      </c>
      <c r="N278" s="3">
        <v>0.85752327846284526</v>
      </c>
      <c r="O278" s="3">
        <v>0.3286406</v>
      </c>
      <c r="P278" s="3">
        <v>6.8094021171795198E-4</v>
      </c>
      <c r="Q278" s="3">
        <f t="shared" si="8"/>
        <v>28175.454106666664</v>
      </c>
      <c r="R278" s="3">
        <f t="shared" si="9"/>
        <v>5185.1206367724835</v>
      </c>
      <c r="S278" s="2" t="s">
        <v>49</v>
      </c>
      <c r="T278" s="2" t="s">
        <v>45</v>
      </c>
    </row>
    <row r="279" spans="1:20" x14ac:dyDescent="0.2">
      <c r="A279" s="2" t="s">
        <v>6</v>
      </c>
      <c r="B279" s="2" t="s">
        <v>45</v>
      </c>
      <c r="C279" s="2" t="s">
        <v>54</v>
      </c>
      <c r="D279" s="3">
        <v>446</v>
      </c>
      <c r="E279" s="3">
        <v>110</v>
      </c>
      <c r="F279" s="2" t="s">
        <v>38</v>
      </c>
      <c r="G279" s="3">
        <v>3.1196666666666664E-2</v>
      </c>
      <c r="H279" s="3">
        <v>3.3180360489636365E-2</v>
      </c>
      <c r="I279" s="3">
        <v>30</v>
      </c>
      <c r="J279" s="3">
        <v>4.5795451673233713E-2</v>
      </c>
      <c r="K279" s="3">
        <v>97.5</v>
      </c>
      <c r="L279" s="3">
        <v>13.420755070660766</v>
      </c>
      <c r="M279" s="3">
        <v>30</v>
      </c>
      <c r="N279" s="3">
        <v>0.85752327846284526</v>
      </c>
      <c r="O279" s="3">
        <v>0.37425000000000003</v>
      </c>
      <c r="P279" s="3">
        <v>7.8347683951674298E-4</v>
      </c>
      <c r="Q279" s="3">
        <f t="shared" si="8"/>
        <v>36489.375</v>
      </c>
      <c r="R279" s="3">
        <f t="shared" si="9"/>
        <v>5022.7175851947914</v>
      </c>
      <c r="S279" s="2" t="s">
        <v>49</v>
      </c>
      <c r="T279" s="2" t="s">
        <v>45</v>
      </c>
    </row>
    <row r="280" spans="1:20" x14ac:dyDescent="0.2">
      <c r="A280" s="2" t="s">
        <v>7</v>
      </c>
      <c r="B280" s="2" t="s">
        <v>51</v>
      </c>
      <c r="C280" s="2" t="s">
        <v>53</v>
      </c>
      <c r="D280" s="3">
        <v>416</v>
      </c>
      <c r="E280" s="3">
        <v>110</v>
      </c>
      <c r="F280" s="2" t="s">
        <v>38</v>
      </c>
      <c r="G280" s="3">
        <v>0.10821999999999998</v>
      </c>
      <c r="H280" s="3">
        <v>1.4501687258154939E-2</v>
      </c>
      <c r="I280" s="3">
        <v>30</v>
      </c>
      <c r="J280" s="3">
        <v>4.5795451673233713E-2</v>
      </c>
      <c r="K280" s="3">
        <v>133.86666666666667</v>
      </c>
      <c r="L280" s="3">
        <v>15.23752677511092</v>
      </c>
      <c r="M280" s="3">
        <v>30</v>
      </c>
      <c r="N280" s="3">
        <v>0.85752327846284526</v>
      </c>
      <c r="O280" s="3">
        <v>0.36</v>
      </c>
      <c r="P280" s="3">
        <v>7.3115146836818005E-4</v>
      </c>
      <c r="Q280" s="3">
        <f t="shared" si="8"/>
        <v>48192.000000000007</v>
      </c>
      <c r="R280" s="3">
        <f t="shared" si="9"/>
        <v>5485.5096390399312</v>
      </c>
      <c r="S280" s="2" t="s">
        <v>49</v>
      </c>
      <c r="T280" s="2" t="s">
        <v>46</v>
      </c>
    </row>
    <row r="281" spans="1:20" x14ac:dyDescent="0.2">
      <c r="A281" s="2" t="s">
        <v>8</v>
      </c>
      <c r="B281" s="2" t="s">
        <v>45</v>
      </c>
      <c r="C281" s="2" t="s">
        <v>54</v>
      </c>
      <c r="D281" s="3">
        <v>494</v>
      </c>
      <c r="E281" s="3">
        <v>110</v>
      </c>
      <c r="F281" s="2" t="s">
        <v>38</v>
      </c>
      <c r="G281" s="3">
        <v>3.5346666666666658E-2</v>
      </c>
      <c r="H281" s="3">
        <v>2.9874222258588681E-2</v>
      </c>
      <c r="I281" s="3">
        <v>30</v>
      </c>
      <c r="J281" s="3">
        <v>4.5795451673233713E-2</v>
      </c>
      <c r="K281" s="3">
        <v>89.666666666666671</v>
      </c>
      <c r="L281" s="3">
        <v>15.653185689252592</v>
      </c>
      <c r="M281" s="3">
        <v>30</v>
      </c>
      <c r="N281" s="3">
        <v>0.85752327846284526</v>
      </c>
      <c r="O281" s="3">
        <v>0.38310939999999999</v>
      </c>
      <c r="P281" s="3">
        <v>7.9349866705351703E-4</v>
      </c>
      <c r="Q281" s="3">
        <f t="shared" si="8"/>
        <v>34352.142866666669</v>
      </c>
      <c r="R281" s="3">
        <f t="shared" si="9"/>
        <v>5996.8825774981469</v>
      </c>
      <c r="S281" s="2" t="s">
        <v>49</v>
      </c>
      <c r="T281" s="2" t="s">
        <v>45</v>
      </c>
    </row>
    <row r="282" spans="1:20" x14ac:dyDescent="0.2">
      <c r="A282" s="2" t="s">
        <v>9</v>
      </c>
      <c r="B282" s="2" t="s">
        <v>51</v>
      </c>
      <c r="C282" s="2" t="s">
        <v>53</v>
      </c>
      <c r="D282" s="3">
        <v>480</v>
      </c>
      <c r="E282" s="3">
        <v>110</v>
      </c>
      <c r="F282" s="2" t="s">
        <v>38</v>
      </c>
      <c r="G282" s="3">
        <v>4.7793333333333327E-2</v>
      </c>
      <c r="H282" s="3">
        <v>2.0872149439437764E-2</v>
      </c>
      <c r="I282" s="3">
        <v>30</v>
      </c>
      <c r="J282" s="3">
        <v>4.5795451673233713E-2</v>
      </c>
      <c r="K282" s="3">
        <v>92.86666666666666</v>
      </c>
      <c r="L282" s="3">
        <v>13.435607747904651</v>
      </c>
      <c r="M282" s="3">
        <v>30</v>
      </c>
      <c r="N282" s="3">
        <v>0.85752327846284526</v>
      </c>
      <c r="O282" s="3">
        <v>0.307</v>
      </c>
      <c r="P282" s="3">
        <v>6.45781411079678E-4</v>
      </c>
      <c r="Q282" s="3">
        <f t="shared" si="8"/>
        <v>28510.066666666662</v>
      </c>
      <c r="R282" s="3">
        <f t="shared" si="9"/>
        <v>4124.7315786067275</v>
      </c>
      <c r="S282" s="2" t="s">
        <v>49</v>
      </c>
      <c r="T282" s="2" t="s">
        <v>45</v>
      </c>
    </row>
    <row r="283" spans="1:20" x14ac:dyDescent="0.2">
      <c r="A283" s="2" t="s">
        <v>10</v>
      </c>
      <c r="B283" s="2" t="s">
        <v>45</v>
      </c>
      <c r="C283" s="2" t="s">
        <v>54</v>
      </c>
      <c r="D283" s="3">
        <v>480</v>
      </c>
      <c r="E283" s="3">
        <v>110</v>
      </c>
      <c r="F283" s="2" t="s">
        <v>38</v>
      </c>
      <c r="G283" s="3">
        <v>1.9428000000000001E-2</v>
      </c>
      <c r="H283" s="3">
        <v>2.2865284078707613E-2</v>
      </c>
      <c r="I283" s="3">
        <v>30</v>
      </c>
      <c r="J283" s="3">
        <v>4.5795451673233713E-2</v>
      </c>
      <c r="K283" s="3">
        <v>79.3</v>
      </c>
      <c r="L283" s="3">
        <v>15.657053788415411</v>
      </c>
      <c r="M283" s="3">
        <v>30</v>
      </c>
      <c r="N283" s="3">
        <v>0.85752327846284526</v>
      </c>
      <c r="O283" s="3">
        <v>0.36992190000000003</v>
      </c>
      <c r="P283" s="3">
        <v>8.0199150739661198E-4</v>
      </c>
      <c r="Q283" s="3">
        <f t="shared" si="8"/>
        <v>29334.806670000002</v>
      </c>
      <c r="R283" s="3">
        <f t="shared" si="9"/>
        <v>5791.8870858128275</v>
      </c>
      <c r="S283" s="2" t="s">
        <v>49</v>
      </c>
      <c r="T283" s="2" t="s">
        <v>45</v>
      </c>
    </row>
    <row r="284" spans="1:20" x14ac:dyDescent="0.2">
      <c r="A284" s="2" t="s">
        <v>11</v>
      </c>
      <c r="B284" s="2" t="s">
        <v>45</v>
      </c>
      <c r="C284" s="2" t="s">
        <v>53</v>
      </c>
      <c r="D284" s="3">
        <v>480</v>
      </c>
      <c r="E284" s="3">
        <v>110</v>
      </c>
      <c r="F284" s="2" t="s">
        <v>38</v>
      </c>
      <c r="G284" s="3">
        <v>4.5386666666666672E-2</v>
      </c>
      <c r="H284" s="3">
        <v>2.6178257305549499E-2</v>
      </c>
      <c r="I284" s="3">
        <v>30</v>
      </c>
      <c r="J284" s="3">
        <v>4.5795451673233713E-2</v>
      </c>
      <c r="K284" s="3">
        <v>111.26666666666668</v>
      </c>
      <c r="L284" s="3">
        <v>13.635574387934266</v>
      </c>
      <c r="M284" s="3">
        <v>30</v>
      </c>
      <c r="N284" s="3">
        <v>0.85752327846284526</v>
      </c>
      <c r="O284" s="3">
        <v>0.33534380000000003</v>
      </c>
      <c r="P284" s="3">
        <v>7.24474873053458E-4</v>
      </c>
      <c r="Q284" s="3">
        <f t="shared" si="8"/>
        <v>37312.586813333342</v>
      </c>
      <c r="R284" s="3">
        <f t="shared" si="9"/>
        <v>4572.6053304325515</v>
      </c>
      <c r="S284" s="2" t="s">
        <v>49</v>
      </c>
      <c r="T284" s="2" t="s">
        <v>45</v>
      </c>
    </row>
    <row r="285" spans="1:20" x14ac:dyDescent="0.2">
      <c r="A285" s="2" t="s">
        <v>12</v>
      </c>
      <c r="B285" s="2" t="s">
        <v>51</v>
      </c>
      <c r="C285" s="2" t="s">
        <v>54</v>
      </c>
      <c r="D285" s="3">
        <v>416</v>
      </c>
      <c r="E285" s="3">
        <v>110</v>
      </c>
      <c r="F285" s="2" t="s">
        <v>38</v>
      </c>
      <c r="G285" s="3">
        <v>3.538666666666667E-2</v>
      </c>
      <c r="H285" s="3">
        <v>1.4540420290425661E-2</v>
      </c>
      <c r="I285" s="3">
        <v>30</v>
      </c>
      <c r="J285" s="3">
        <v>4.5795451673233713E-2</v>
      </c>
      <c r="K285" s="3">
        <v>124.53333333333332</v>
      </c>
      <c r="L285" s="3">
        <v>13.131979625665316</v>
      </c>
      <c r="M285" s="3">
        <v>30</v>
      </c>
      <c r="N285" s="3">
        <v>0.85752327846284526</v>
      </c>
      <c r="O285" s="3">
        <v>0.37801560000000001</v>
      </c>
      <c r="P285" s="3">
        <v>7.4952598885521203E-4</v>
      </c>
      <c r="Q285" s="3">
        <f t="shared" si="8"/>
        <v>47075.54271999999</v>
      </c>
      <c r="R285" s="3">
        <f t="shared" si="9"/>
        <v>4964.0931573836506</v>
      </c>
      <c r="S285" s="2" t="s">
        <v>49</v>
      </c>
      <c r="T285" s="2" t="s">
        <v>46</v>
      </c>
    </row>
    <row r="286" spans="1:20" x14ac:dyDescent="0.2">
      <c r="A286" s="2" t="s">
        <v>13</v>
      </c>
      <c r="B286" s="2" t="s">
        <v>45</v>
      </c>
      <c r="C286" s="2" t="s">
        <v>54</v>
      </c>
      <c r="D286" s="3">
        <v>416</v>
      </c>
      <c r="E286" s="3">
        <v>110</v>
      </c>
      <c r="F286" s="2" t="s">
        <v>38</v>
      </c>
      <c r="G286" s="3">
        <v>2.8760000000000001E-2</v>
      </c>
      <c r="H286" s="3">
        <v>1.7135822127928385E-2</v>
      </c>
      <c r="I286" s="3">
        <v>30</v>
      </c>
      <c r="J286" s="3">
        <v>4.5795451673233713E-2</v>
      </c>
      <c r="K286" s="3">
        <v>117.46666666666668</v>
      </c>
      <c r="L286" s="3">
        <v>20.459282055395352</v>
      </c>
      <c r="M286" s="3">
        <v>30</v>
      </c>
      <c r="N286" s="3">
        <v>0.85752327846284526</v>
      </c>
      <c r="O286" s="3">
        <v>0.37557810000000003</v>
      </c>
      <c r="P286" s="3">
        <v>7.3853313543205304E-4</v>
      </c>
      <c r="Q286" s="3">
        <f t="shared" si="8"/>
        <v>44117.907480000009</v>
      </c>
      <c r="R286" s="3">
        <f t="shared" si="9"/>
        <v>7684.0582817294817</v>
      </c>
      <c r="S286" s="2" t="s">
        <v>49</v>
      </c>
      <c r="T286" s="2" t="s">
        <v>46</v>
      </c>
    </row>
    <row r="287" spans="1:20" x14ac:dyDescent="0.2">
      <c r="A287" s="2" t="s">
        <v>14</v>
      </c>
      <c r="B287" s="2" t="s">
        <v>45</v>
      </c>
      <c r="C287" s="2" t="s">
        <v>53</v>
      </c>
      <c r="D287" s="3">
        <v>416</v>
      </c>
      <c r="E287" s="3">
        <v>110</v>
      </c>
      <c r="F287" s="2" t="s">
        <v>38</v>
      </c>
      <c r="G287" s="3">
        <v>9.4346666666666634E-2</v>
      </c>
      <c r="H287" s="3">
        <v>2.1099569242575125E-2</v>
      </c>
      <c r="I287" s="3">
        <v>30</v>
      </c>
      <c r="J287" s="3">
        <v>4.5795451673233713E-2</v>
      </c>
      <c r="K287" s="3">
        <v>131.80000000000001</v>
      </c>
      <c r="L287" s="3">
        <v>13.545971110752204</v>
      </c>
      <c r="M287" s="3">
        <v>30</v>
      </c>
      <c r="N287" s="3">
        <v>0.85752327846284526</v>
      </c>
      <c r="O287" s="3">
        <v>0.33021879999999998</v>
      </c>
      <c r="P287" s="3">
        <v>6.7336415755146599E-4</v>
      </c>
      <c r="Q287" s="3">
        <f t="shared" si="8"/>
        <v>43522.83784</v>
      </c>
      <c r="R287" s="3">
        <f t="shared" si="9"/>
        <v>4473.1343250272594</v>
      </c>
      <c r="S287" s="2" t="s">
        <v>49</v>
      </c>
      <c r="T287" s="2" t="s">
        <v>46</v>
      </c>
    </row>
    <row r="288" spans="1:20" x14ac:dyDescent="0.2">
      <c r="A288" s="2" t="s">
        <v>15</v>
      </c>
      <c r="B288" s="2" t="s">
        <v>51</v>
      </c>
      <c r="C288" s="2" t="s">
        <v>53</v>
      </c>
      <c r="D288" s="3">
        <v>432</v>
      </c>
      <c r="E288" s="3">
        <v>110</v>
      </c>
      <c r="F288" s="2" t="s">
        <v>38</v>
      </c>
      <c r="G288" s="3">
        <v>0.10031666666666668</v>
      </c>
      <c r="H288" s="3">
        <v>2.1701583403572703E-2</v>
      </c>
      <c r="I288" s="3">
        <v>30</v>
      </c>
      <c r="J288" s="3">
        <v>4.5795451673233713E-2</v>
      </c>
      <c r="K288" s="3">
        <v>115.86666666666666</v>
      </c>
      <c r="L288" s="3">
        <v>11.122749460252871</v>
      </c>
      <c r="M288" s="3">
        <v>30</v>
      </c>
      <c r="N288" s="3">
        <v>0.85752327846284526</v>
      </c>
      <c r="O288" s="3">
        <v>0.29362500000000002</v>
      </c>
      <c r="P288" s="3">
        <v>5.9133931504444601E-4</v>
      </c>
      <c r="Q288" s="3">
        <f t="shared" si="8"/>
        <v>34021.35</v>
      </c>
      <c r="R288" s="3">
        <f t="shared" si="9"/>
        <v>3265.9173102667496</v>
      </c>
      <c r="S288" s="2" t="s">
        <v>49</v>
      </c>
      <c r="T288" s="2" t="s">
        <v>45</v>
      </c>
    </row>
    <row r="289" spans="1:20" x14ac:dyDescent="0.2">
      <c r="A289" s="2" t="s">
        <v>16</v>
      </c>
      <c r="B289" s="2" t="s">
        <v>45</v>
      </c>
      <c r="C289" s="2" t="s">
        <v>53</v>
      </c>
      <c r="D289" s="3">
        <v>432</v>
      </c>
      <c r="E289" s="3">
        <v>110</v>
      </c>
      <c r="F289" s="2" t="s">
        <v>38</v>
      </c>
      <c r="G289" s="3">
        <v>0.10013</v>
      </c>
      <c r="H289" s="3">
        <v>2.4549991853359137E-2</v>
      </c>
      <c r="I289" s="3">
        <v>30</v>
      </c>
      <c r="J289" s="3">
        <v>4.5795451673233713E-2</v>
      </c>
      <c r="K289" s="3">
        <v>123.53333333333332</v>
      </c>
      <c r="L289" s="3">
        <v>8.7587416650769843</v>
      </c>
      <c r="M289" s="3">
        <v>30</v>
      </c>
      <c r="N289" s="3">
        <v>0.85752327846284526</v>
      </c>
      <c r="O289" s="3">
        <v>0.330125</v>
      </c>
      <c r="P289" s="3">
        <v>7.0289139140955698E-4</v>
      </c>
      <c r="Q289" s="3">
        <f t="shared" si="8"/>
        <v>40781.441666666658</v>
      </c>
      <c r="R289" s="3">
        <f t="shared" si="9"/>
        <v>2891.4795921835394</v>
      </c>
      <c r="S289" s="2" t="s">
        <v>49</v>
      </c>
      <c r="T289" s="2" t="s">
        <v>45</v>
      </c>
    </row>
    <row r="290" spans="1:20" x14ac:dyDescent="0.2">
      <c r="A290" s="2" t="s">
        <v>1</v>
      </c>
      <c r="B290" s="2" t="s">
        <v>51</v>
      </c>
      <c r="C290" s="2" t="s">
        <v>53</v>
      </c>
      <c r="D290" s="3">
        <v>443</v>
      </c>
      <c r="E290" s="3">
        <v>126</v>
      </c>
      <c r="F290" s="2" t="s">
        <v>30</v>
      </c>
      <c r="G290" s="3">
        <v>7.5173333333333328E-2</v>
      </c>
      <c r="H290" s="3">
        <v>2.3664783023631456E-2</v>
      </c>
      <c r="I290" s="3">
        <v>30</v>
      </c>
      <c r="J290" s="3">
        <v>1.3019202625906858E-6</v>
      </c>
      <c r="K290" s="3">
        <v>32.299999999999997</v>
      </c>
      <c r="L290" s="3">
        <v>12.124768039018315</v>
      </c>
      <c r="M290" s="3">
        <v>30</v>
      </c>
      <c r="N290" s="3">
        <v>0.75607715075946147</v>
      </c>
      <c r="O290" s="3">
        <v>0.4069063</v>
      </c>
      <c r="P290" s="3">
        <v>8.3791994026439695E-4</v>
      </c>
      <c r="Q290" s="3">
        <f t="shared" si="8"/>
        <v>13143.073489999999</v>
      </c>
      <c r="R290" s="3">
        <f t="shared" si="9"/>
        <v>4933.6445011151982</v>
      </c>
      <c r="S290" s="2" t="s">
        <v>49</v>
      </c>
      <c r="T290" s="2" t="s">
        <v>45</v>
      </c>
    </row>
    <row r="291" spans="1:20" x14ac:dyDescent="0.2">
      <c r="A291" s="2" t="s">
        <v>2</v>
      </c>
      <c r="B291" s="2" t="s">
        <v>51</v>
      </c>
      <c r="C291" s="2" t="s">
        <v>54</v>
      </c>
      <c r="D291" s="3">
        <v>459</v>
      </c>
      <c r="E291" s="3">
        <v>126</v>
      </c>
      <c r="F291" s="2" t="s">
        <v>30</v>
      </c>
      <c r="G291" s="3">
        <v>5.2856666666666663E-2</v>
      </c>
      <c r="H291" s="3">
        <v>4.7178594604851146E-2</v>
      </c>
      <c r="I291" s="3">
        <v>30</v>
      </c>
      <c r="J291" s="3">
        <v>1.3019202625906858E-6</v>
      </c>
      <c r="K291" s="3">
        <v>56.033333333333331</v>
      </c>
      <c r="L291" s="3">
        <v>19.737415118387599</v>
      </c>
      <c r="M291" s="3">
        <v>30</v>
      </c>
      <c r="N291" s="3">
        <v>0.75607715075946147</v>
      </c>
      <c r="O291" s="3">
        <v>0.44585940000000002</v>
      </c>
      <c r="P291" s="3">
        <v>9.3929792865287602E-4</v>
      </c>
      <c r="Q291" s="3">
        <f t="shared" si="8"/>
        <v>24982.988379999999</v>
      </c>
      <c r="R291" s="3">
        <f t="shared" si="9"/>
        <v>8800.1120622352246</v>
      </c>
      <c r="S291" s="2" t="s">
        <v>49</v>
      </c>
      <c r="T291" s="2" t="s">
        <v>45</v>
      </c>
    </row>
    <row r="292" spans="1:20" x14ac:dyDescent="0.2">
      <c r="A292" s="2" t="s">
        <v>3</v>
      </c>
      <c r="B292" s="2" t="s">
        <v>45</v>
      </c>
      <c r="C292" s="2" t="s">
        <v>54</v>
      </c>
      <c r="D292" s="3">
        <v>440</v>
      </c>
      <c r="E292" s="3">
        <v>126</v>
      </c>
      <c r="F292" s="2" t="s">
        <v>30</v>
      </c>
      <c r="G292" s="3">
        <v>3.8229999999999993E-2</v>
      </c>
      <c r="H292" s="3">
        <v>3.1682415206756784E-2</v>
      </c>
      <c r="I292" s="3">
        <v>30</v>
      </c>
      <c r="J292" s="3">
        <v>1.3019202625906858E-6</v>
      </c>
      <c r="K292" s="3">
        <v>65.933333333333337</v>
      </c>
      <c r="L292" s="3">
        <v>26.443566745471799</v>
      </c>
      <c r="M292" s="3">
        <v>30</v>
      </c>
      <c r="N292" s="3">
        <v>0.75607715075946147</v>
      </c>
      <c r="O292" s="3">
        <v>0.43970310000000001</v>
      </c>
      <c r="P292" s="3">
        <v>9.1230573788069098E-4</v>
      </c>
      <c r="Q292" s="3">
        <f t="shared" si="8"/>
        <v>28991.091060000006</v>
      </c>
      <c r="R292" s="3">
        <f t="shared" si="9"/>
        <v>11627.318273040861</v>
      </c>
      <c r="S292" s="2" t="s">
        <v>49</v>
      </c>
      <c r="T292" s="2" t="s">
        <v>45</v>
      </c>
    </row>
    <row r="293" spans="1:20" x14ac:dyDescent="0.2">
      <c r="A293" s="2" t="s">
        <v>4</v>
      </c>
      <c r="B293" s="2" t="s">
        <v>45</v>
      </c>
      <c r="C293" s="2" t="s">
        <v>53</v>
      </c>
      <c r="D293" s="3">
        <v>440</v>
      </c>
      <c r="E293" s="3">
        <v>126</v>
      </c>
      <c r="F293" s="2" t="s">
        <v>30</v>
      </c>
      <c r="G293" s="3">
        <v>7.452333333333333E-2</v>
      </c>
      <c r="H293" s="3">
        <v>2.5541765578927563E-2</v>
      </c>
      <c r="I293" s="3">
        <v>30</v>
      </c>
      <c r="J293" s="3">
        <v>1.3019202625906858E-6</v>
      </c>
      <c r="K293" s="3">
        <v>34.633333333333333</v>
      </c>
      <c r="L293" s="3">
        <v>10.406675208196363</v>
      </c>
      <c r="M293" s="3">
        <v>30</v>
      </c>
      <c r="N293" s="3">
        <v>0.75607715075946147</v>
      </c>
      <c r="O293" s="3">
        <v>0.44278129999999999</v>
      </c>
      <c r="P293" s="3">
        <v>9.3619455607423603E-4</v>
      </c>
      <c r="Q293" s="3">
        <f t="shared" si="8"/>
        <v>15334.992356666668</v>
      </c>
      <c r="R293" s="3">
        <f t="shared" si="9"/>
        <v>4607.8811773629559</v>
      </c>
      <c r="S293" s="2" t="s">
        <v>49</v>
      </c>
      <c r="T293" s="2" t="s">
        <v>45</v>
      </c>
    </row>
    <row r="294" spans="1:20" x14ac:dyDescent="0.2">
      <c r="A294" s="2" t="s">
        <v>5</v>
      </c>
      <c r="B294" s="2" t="s">
        <v>51</v>
      </c>
      <c r="C294" s="2" t="s">
        <v>53</v>
      </c>
      <c r="D294" s="3">
        <v>459</v>
      </c>
      <c r="E294" s="3">
        <v>126</v>
      </c>
      <c r="F294" s="2" t="s">
        <v>30</v>
      </c>
      <c r="G294" s="3">
        <v>7.1320000000000008E-2</v>
      </c>
      <c r="H294" s="3">
        <v>3.8933844745499595E-2</v>
      </c>
      <c r="I294" s="3">
        <v>30</v>
      </c>
      <c r="J294" s="3">
        <v>1.3019202625906858E-6</v>
      </c>
      <c r="K294" s="3">
        <v>15.966666666666669</v>
      </c>
      <c r="L294" s="3">
        <v>11.193698624176411</v>
      </c>
      <c r="M294" s="3">
        <v>30</v>
      </c>
      <c r="N294" s="3">
        <v>0.75607715075946147</v>
      </c>
      <c r="O294" s="3">
        <v>0.44362499999999999</v>
      </c>
      <c r="P294" s="3">
        <v>9.1918679987614601E-4</v>
      </c>
      <c r="Q294" s="3">
        <f t="shared" si="8"/>
        <v>7083.2125000000005</v>
      </c>
      <c r="R294" s="3">
        <f t="shared" si="9"/>
        <v>4965.8045521502609</v>
      </c>
      <c r="S294" s="2" t="s">
        <v>49</v>
      </c>
      <c r="T294" s="2" t="s">
        <v>45</v>
      </c>
    </row>
    <row r="295" spans="1:20" x14ac:dyDescent="0.2">
      <c r="A295" s="2" t="s">
        <v>6</v>
      </c>
      <c r="B295" s="2" t="s">
        <v>45</v>
      </c>
      <c r="C295" s="2" t="s">
        <v>54</v>
      </c>
      <c r="D295" s="3">
        <v>446</v>
      </c>
      <c r="E295" s="3">
        <v>126</v>
      </c>
      <c r="F295" s="2" t="s">
        <v>30</v>
      </c>
      <c r="G295" s="3">
        <v>3.1879166666666674E-2</v>
      </c>
      <c r="H295" s="3">
        <v>3.3496044283450682E-2</v>
      </c>
      <c r="I295" s="3">
        <v>30</v>
      </c>
      <c r="J295" s="3">
        <v>1.3019202625906858E-6</v>
      </c>
      <c r="K295" s="3">
        <v>32.966666666666669</v>
      </c>
      <c r="L295" s="3">
        <v>7.8548640273965837</v>
      </c>
      <c r="M295" s="3">
        <v>30</v>
      </c>
      <c r="N295" s="3">
        <v>0.75607715075946147</v>
      </c>
      <c r="O295" s="3">
        <v>0.44495309999999999</v>
      </c>
      <c r="P295" s="3">
        <v>9.3149084441196395E-4</v>
      </c>
      <c r="Q295" s="3">
        <f t="shared" si="8"/>
        <v>14668.620530000002</v>
      </c>
      <c r="R295" s="3">
        <f t="shared" si="9"/>
        <v>3495.0460990685947</v>
      </c>
      <c r="S295" s="2" t="s">
        <v>49</v>
      </c>
      <c r="T295" s="2" t="s">
        <v>45</v>
      </c>
    </row>
    <row r="296" spans="1:20" x14ac:dyDescent="0.2">
      <c r="A296" s="2" t="s">
        <v>7</v>
      </c>
      <c r="B296" s="2" t="s">
        <v>51</v>
      </c>
      <c r="C296" s="2" t="s">
        <v>53</v>
      </c>
      <c r="D296" s="3">
        <v>416</v>
      </c>
      <c r="E296" s="3">
        <v>126</v>
      </c>
      <c r="F296" s="2" t="s">
        <v>30</v>
      </c>
      <c r="G296" s="3">
        <v>8.3196666666666669E-2</v>
      </c>
      <c r="H296" s="3">
        <v>3.2628990007183618E-2</v>
      </c>
      <c r="I296" s="3">
        <v>30</v>
      </c>
      <c r="J296" s="3">
        <v>1.3019202625906858E-6</v>
      </c>
      <c r="K296" s="3">
        <v>68.13333333333334</v>
      </c>
      <c r="L296" s="3">
        <v>19.939463940192127</v>
      </c>
      <c r="M296" s="3">
        <v>30</v>
      </c>
      <c r="N296" s="3">
        <v>0.75607715075946147</v>
      </c>
      <c r="O296" s="3">
        <v>0.48940630000000002</v>
      </c>
      <c r="P296" s="3">
        <v>9.9397259687121703E-4</v>
      </c>
      <c r="Q296" s="3">
        <f t="shared" si="8"/>
        <v>33344.882573333336</v>
      </c>
      <c r="R296" s="3">
        <f t="shared" si="9"/>
        <v>9758.4992709528506</v>
      </c>
      <c r="S296" s="2" t="s">
        <v>49</v>
      </c>
      <c r="T296" s="2" t="s">
        <v>46</v>
      </c>
    </row>
    <row r="297" spans="1:20" x14ac:dyDescent="0.2">
      <c r="A297" s="2" t="s">
        <v>8</v>
      </c>
      <c r="B297" s="2" t="s">
        <v>45</v>
      </c>
      <c r="C297" s="2" t="s">
        <v>54</v>
      </c>
      <c r="D297" s="3">
        <v>494</v>
      </c>
      <c r="E297" s="3">
        <v>126</v>
      </c>
      <c r="F297" s="2" t="s">
        <v>30</v>
      </c>
      <c r="G297" s="3">
        <v>2.6673913043478263E-2</v>
      </c>
      <c r="H297" s="3">
        <v>3.4013849064261331E-2</v>
      </c>
      <c r="I297" s="3">
        <v>30</v>
      </c>
      <c r="J297" s="3">
        <v>1.3019202625906858E-6</v>
      </c>
      <c r="K297" s="3">
        <v>31.533333333333335</v>
      </c>
      <c r="L297" s="3">
        <v>15.021614057380416</v>
      </c>
      <c r="M297" s="3">
        <v>30</v>
      </c>
      <c r="N297" s="3">
        <v>0.75607715075946147</v>
      </c>
      <c r="O297" s="3">
        <v>0.43043749999999997</v>
      </c>
      <c r="P297" s="3">
        <v>8.91524933869668E-4</v>
      </c>
      <c r="Q297" s="3">
        <f t="shared" si="8"/>
        <v>13573.129166666668</v>
      </c>
      <c r="R297" s="3">
        <f t="shared" si="9"/>
        <v>6465.866000823683</v>
      </c>
      <c r="S297" s="2" t="s">
        <v>49</v>
      </c>
      <c r="T297" s="2" t="s">
        <v>45</v>
      </c>
    </row>
    <row r="298" spans="1:20" x14ac:dyDescent="0.2">
      <c r="A298" s="2" t="s">
        <v>9</v>
      </c>
      <c r="B298" s="2" t="s">
        <v>51</v>
      </c>
      <c r="C298" s="2" t="s">
        <v>53</v>
      </c>
      <c r="D298" s="3">
        <v>480</v>
      </c>
      <c r="E298" s="3">
        <v>126</v>
      </c>
      <c r="F298" s="2" t="s">
        <v>30</v>
      </c>
      <c r="G298" s="3">
        <v>0.10032000000000001</v>
      </c>
      <c r="H298" s="3">
        <v>3.9592132215041577E-2</v>
      </c>
      <c r="I298" s="3">
        <v>30</v>
      </c>
      <c r="J298" s="3">
        <v>1.3019202625906858E-6</v>
      </c>
      <c r="K298" s="3">
        <v>42.8</v>
      </c>
      <c r="L298" s="3">
        <v>12.180311982868092</v>
      </c>
      <c r="M298" s="3">
        <v>30</v>
      </c>
      <c r="N298" s="3">
        <v>0.75607715075946147</v>
      </c>
      <c r="O298" s="3">
        <v>0.41879690000000003</v>
      </c>
      <c r="P298" s="3">
        <v>8.8094870696350195E-4</v>
      </c>
      <c r="Q298" s="3">
        <f t="shared" si="8"/>
        <v>17924.507320000001</v>
      </c>
      <c r="R298" s="3">
        <f t="shared" si="9"/>
        <v>5101.0768994580103</v>
      </c>
      <c r="S298" s="2" t="s">
        <v>49</v>
      </c>
      <c r="T298" s="2" t="s">
        <v>45</v>
      </c>
    </row>
    <row r="299" spans="1:20" x14ac:dyDescent="0.2">
      <c r="A299" s="2" t="s">
        <v>10</v>
      </c>
      <c r="B299" s="2" t="s">
        <v>45</v>
      </c>
      <c r="C299" s="2" t="s">
        <v>54</v>
      </c>
      <c r="D299" s="3">
        <v>480</v>
      </c>
      <c r="E299" s="3">
        <v>126</v>
      </c>
      <c r="F299" s="2" t="s">
        <v>30</v>
      </c>
      <c r="G299" s="3">
        <v>2.1004347826086952E-2</v>
      </c>
      <c r="H299" s="3">
        <v>2.5191863390714237E-2</v>
      </c>
      <c r="I299" s="3">
        <v>30</v>
      </c>
      <c r="J299" s="3">
        <v>1.3019202625906858E-6</v>
      </c>
      <c r="K299" s="3">
        <v>33.833333333333336</v>
      </c>
      <c r="L299" s="3">
        <v>14.19878711565025</v>
      </c>
      <c r="M299" s="3">
        <v>30</v>
      </c>
      <c r="N299" s="3">
        <v>0.75607715075946147</v>
      </c>
      <c r="O299" s="3">
        <v>0.43959379999999998</v>
      </c>
      <c r="P299" s="3">
        <v>9.5304034258097395E-4</v>
      </c>
      <c r="Q299" s="3">
        <f t="shared" si="8"/>
        <v>14872.923566666666</v>
      </c>
      <c r="R299" s="3">
        <f t="shared" si="9"/>
        <v>6241.6987835597329</v>
      </c>
      <c r="S299" s="2" t="s">
        <v>49</v>
      </c>
      <c r="T299" s="2" t="s">
        <v>45</v>
      </c>
    </row>
    <row r="300" spans="1:20" x14ac:dyDescent="0.2">
      <c r="A300" s="2" t="s">
        <v>11</v>
      </c>
      <c r="B300" s="2" t="s">
        <v>45</v>
      </c>
      <c r="C300" s="2" t="s">
        <v>53</v>
      </c>
      <c r="D300" s="3">
        <v>480</v>
      </c>
      <c r="E300" s="3">
        <v>126</v>
      </c>
      <c r="F300" s="2" t="s">
        <v>30</v>
      </c>
      <c r="G300" s="3">
        <v>7.4713333333333326E-2</v>
      </c>
      <c r="H300" s="3">
        <v>2.6392381897476065E-2</v>
      </c>
      <c r="I300" s="3">
        <v>30</v>
      </c>
      <c r="J300" s="3">
        <v>1.3019202625906858E-6</v>
      </c>
      <c r="K300" s="3">
        <v>40.233333333333334</v>
      </c>
      <c r="L300" s="3">
        <v>13.190105719397735</v>
      </c>
      <c r="M300" s="3">
        <v>30</v>
      </c>
      <c r="N300" s="3">
        <v>0.75607715075946147</v>
      </c>
      <c r="O300" s="3">
        <v>0.41059380000000001</v>
      </c>
      <c r="P300" s="3">
        <v>8.8704455287838004E-4</v>
      </c>
      <c r="Q300" s="3">
        <f t="shared" si="8"/>
        <v>16519.557220000002</v>
      </c>
      <c r="R300" s="3">
        <f t="shared" si="9"/>
        <v>5415.7756297292499</v>
      </c>
      <c r="S300" s="2" t="s">
        <v>49</v>
      </c>
      <c r="T300" s="2" t="s">
        <v>45</v>
      </c>
    </row>
    <row r="301" spans="1:20" x14ac:dyDescent="0.2">
      <c r="A301" s="2" t="s">
        <v>12</v>
      </c>
      <c r="B301" s="2" t="s">
        <v>51</v>
      </c>
      <c r="C301" s="2" t="s">
        <v>54</v>
      </c>
      <c r="D301" s="3">
        <v>416</v>
      </c>
      <c r="E301" s="3">
        <v>126</v>
      </c>
      <c r="F301" s="2" t="s">
        <v>30</v>
      </c>
      <c r="G301" s="3">
        <v>2.6986666666666666E-2</v>
      </c>
      <c r="H301" s="3">
        <v>2.2375145933726456E-2</v>
      </c>
      <c r="I301" s="3">
        <v>30</v>
      </c>
      <c r="J301" s="3">
        <v>1.3019202625906858E-6</v>
      </c>
      <c r="K301" s="3">
        <v>74.13333333333334</v>
      </c>
      <c r="L301" s="3">
        <v>20.705447485035325</v>
      </c>
      <c r="M301" s="3">
        <v>30</v>
      </c>
      <c r="N301" s="3">
        <v>0.75607715075946147</v>
      </c>
      <c r="O301" s="3">
        <v>0.47779690000000002</v>
      </c>
      <c r="P301" s="3">
        <v>9.4737146812050896E-4</v>
      </c>
      <c r="Q301" s="3">
        <f t="shared" si="8"/>
        <v>35420.676853333338</v>
      </c>
      <c r="R301" s="3">
        <f t="shared" si="9"/>
        <v>9892.9986214626751</v>
      </c>
      <c r="S301" s="2" t="s">
        <v>49</v>
      </c>
      <c r="T301" s="2" t="s">
        <v>46</v>
      </c>
    </row>
    <row r="302" spans="1:20" x14ac:dyDescent="0.2">
      <c r="A302" s="2" t="s">
        <v>13</v>
      </c>
      <c r="B302" s="2" t="s">
        <v>45</v>
      </c>
      <c r="C302" s="2" t="s">
        <v>54</v>
      </c>
      <c r="D302" s="3">
        <v>416</v>
      </c>
      <c r="E302" s="3">
        <v>126</v>
      </c>
      <c r="F302" s="2" t="s">
        <v>30</v>
      </c>
      <c r="G302" s="3">
        <v>2.8490000000000001E-2</v>
      </c>
      <c r="H302" s="3">
        <v>3.3237723046763187E-2</v>
      </c>
      <c r="I302" s="3">
        <v>30</v>
      </c>
      <c r="J302" s="3">
        <v>1.3019202625906858E-6</v>
      </c>
      <c r="K302" s="3">
        <v>55.06666666666667</v>
      </c>
      <c r="L302" s="3">
        <v>23.093914542339697</v>
      </c>
      <c r="M302" s="3">
        <v>30</v>
      </c>
      <c r="N302" s="3">
        <v>0.75607715075946147</v>
      </c>
      <c r="O302" s="3">
        <v>0.4674063</v>
      </c>
      <c r="P302" s="3">
        <v>9.1910321783856598E-4</v>
      </c>
      <c r="Q302" s="3">
        <f t="shared" si="8"/>
        <v>25738.506920000003</v>
      </c>
      <c r="R302" s="3">
        <f t="shared" si="9"/>
        <v>10794.241148751191</v>
      </c>
      <c r="S302" s="2" t="s">
        <v>49</v>
      </c>
      <c r="T302" s="2" t="s">
        <v>46</v>
      </c>
    </row>
    <row r="303" spans="1:20" x14ac:dyDescent="0.2">
      <c r="A303" s="2" t="s">
        <v>14</v>
      </c>
      <c r="B303" s="2" t="s">
        <v>45</v>
      </c>
      <c r="C303" s="2" t="s">
        <v>53</v>
      </c>
      <c r="D303" s="3">
        <v>416</v>
      </c>
      <c r="E303" s="3">
        <v>126</v>
      </c>
      <c r="F303" s="2" t="s">
        <v>30</v>
      </c>
      <c r="G303" s="3">
        <v>6.4553333333333324E-2</v>
      </c>
      <c r="H303" s="3">
        <v>3.5598986252732286E-2</v>
      </c>
      <c r="I303" s="3">
        <v>30</v>
      </c>
      <c r="J303" s="3">
        <v>1.3019202625906858E-6</v>
      </c>
      <c r="K303" s="3">
        <v>79.900000000000006</v>
      </c>
      <c r="L303" s="3">
        <v>17.187883329058678</v>
      </c>
      <c r="M303" s="3">
        <v>30</v>
      </c>
      <c r="N303" s="3">
        <v>0.75607715075946147</v>
      </c>
      <c r="O303" s="3">
        <v>0.44935940000000002</v>
      </c>
      <c r="P303" s="3">
        <v>9.1630916779672305E-4</v>
      </c>
      <c r="Q303" s="3">
        <f t="shared" si="8"/>
        <v>35903.816060000005</v>
      </c>
      <c r="R303" s="3">
        <f t="shared" si="9"/>
        <v>7723.5369400158097</v>
      </c>
      <c r="S303" s="2" t="s">
        <v>49</v>
      </c>
      <c r="T303" s="2" t="s">
        <v>46</v>
      </c>
    </row>
    <row r="304" spans="1:20" x14ac:dyDescent="0.2">
      <c r="A304" s="2" t="s">
        <v>15</v>
      </c>
      <c r="B304" s="2" t="s">
        <v>51</v>
      </c>
      <c r="C304" s="2" t="s">
        <v>53</v>
      </c>
      <c r="D304" s="3">
        <v>432</v>
      </c>
      <c r="E304" s="3">
        <v>126</v>
      </c>
      <c r="F304" s="2" t="s">
        <v>30</v>
      </c>
      <c r="G304" s="3">
        <v>0.10396</v>
      </c>
      <c r="H304" s="3">
        <v>3.3194895189873196E-2</v>
      </c>
      <c r="I304" s="3">
        <v>30</v>
      </c>
      <c r="J304" s="3">
        <v>1.3019202625906858E-6</v>
      </c>
      <c r="K304" s="3">
        <v>76.666666666666671</v>
      </c>
      <c r="L304" s="3">
        <v>19.927089323051895</v>
      </c>
      <c r="M304" s="3">
        <v>30</v>
      </c>
      <c r="N304" s="3">
        <v>0.75607715075946147</v>
      </c>
      <c r="O304" s="3">
        <v>0.41557820000000001</v>
      </c>
      <c r="P304" s="3">
        <v>8.36944157123555E-4</v>
      </c>
      <c r="Q304" s="3">
        <f t="shared" si="8"/>
        <v>31860.995333333336</v>
      </c>
      <c r="R304" s="3">
        <f t="shared" si="9"/>
        <v>8281.2639121131251</v>
      </c>
      <c r="S304" s="2" t="s">
        <v>49</v>
      </c>
      <c r="T304" s="2" t="s">
        <v>45</v>
      </c>
    </row>
    <row r="305" spans="1:20" x14ac:dyDescent="0.2">
      <c r="A305" s="2" t="s">
        <v>16</v>
      </c>
      <c r="B305" s="2" t="s">
        <v>45</v>
      </c>
      <c r="C305" s="2" t="s">
        <v>53</v>
      </c>
      <c r="D305" s="3">
        <v>432</v>
      </c>
      <c r="E305" s="3">
        <v>126</v>
      </c>
      <c r="F305" s="2" t="s">
        <v>30</v>
      </c>
      <c r="G305" s="3">
        <v>8.4753333333333333E-2</v>
      </c>
      <c r="H305" s="3">
        <v>2.4365258509242666E-2</v>
      </c>
      <c r="I305" s="3">
        <v>30</v>
      </c>
      <c r="J305" s="3">
        <v>1.3019202625906858E-6</v>
      </c>
      <c r="K305" s="3">
        <v>91.23333333333332</v>
      </c>
      <c r="L305" s="3">
        <v>17.448368277737483</v>
      </c>
      <c r="M305" s="3">
        <v>30</v>
      </c>
      <c r="N305" s="3">
        <v>0.75607715075946147</v>
      </c>
      <c r="O305" s="3">
        <v>0.41307820000000001</v>
      </c>
      <c r="P305" s="3">
        <v>8.7951264145083E-4</v>
      </c>
      <c r="Q305" s="3">
        <f t="shared" si="8"/>
        <v>37686.501113333325</v>
      </c>
      <c r="R305" s="3">
        <f t="shared" si="9"/>
        <v>7207.5405611048991</v>
      </c>
      <c r="S305" s="2" t="s">
        <v>49</v>
      </c>
      <c r="T305" s="2" t="s">
        <v>45</v>
      </c>
    </row>
    <row r="306" spans="1:20" x14ac:dyDescent="0.2">
      <c r="A306" s="2" t="s">
        <v>1</v>
      </c>
      <c r="B306" s="2" t="s">
        <v>51</v>
      </c>
      <c r="C306" s="2" t="s">
        <v>53</v>
      </c>
      <c r="D306" s="3">
        <v>443</v>
      </c>
      <c r="E306" s="3">
        <v>151</v>
      </c>
      <c r="F306" s="2" t="s">
        <v>34</v>
      </c>
      <c r="G306" s="3">
        <v>7.8289999999999985E-2</v>
      </c>
      <c r="H306" s="3">
        <v>2.2188020040853879E-2</v>
      </c>
      <c r="I306" s="3">
        <v>30</v>
      </c>
      <c r="J306" s="3">
        <v>1.0186082123465015E-6</v>
      </c>
      <c r="K306" s="3">
        <v>45.766666666666666</v>
      </c>
      <c r="L306" s="3">
        <v>11.232937678492162</v>
      </c>
      <c r="M306" s="3">
        <v>30</v>
      </c>
      <c r="N306" s="3">
        <v>0.45457311820146251</v>
      </c>
      <c r="O306" s="3">
        <v>0.18648439999999999</v>
      </c>
      <c r="P306" s="3">
        <v>3.8401714917719897E-4</v>
      </c>
      <c r="Q306" s="3">
        <f t="shared" si="8"/>
        <v>8534.7693733333326</v>
      </c>
      <c r="R306" s="3">
        <f t="shared" si="9"/>
        <v>2094.7676432110038</v>
      </c>
      <c r="S306" s="2" t="s">
        <v>49</v>
      </c>
      <c r="T306" s="2" t="s">
        <v>45</v>
      </c>
    </row>
    <row r="307" spans="1:20" x14ac:dyDescent="0.2">
      <c r="A307" s="2" t="s">
        <v>2</v>
      </c>
      <c r="B307" s="2" t="s">
        <v>51</v>
      </c>
      <c r="C307" s="2" t="s">
        <v>54</v>
      </c>
      <c r="D307" s="3">
        <v>459</v>
      </c>
      <c r="E307" s="3">
        <v>151</v>
      </c>
      <c r="F307" s="2" t="s">
        <v>34</v>
      </c>
      <c r="G307" s="3">
        <v>2.9610000000000001E-2</v>
      </c>
      <c r="H307" s="3">
        <v>1.4875715108861152E-2</v>
      </c>
      <c r="I307" s="3">
        <v>30</v>
      </c>
      <c r="J307" s="3">
        <v>1.0186082123465015E-6</v>
      </c>
      <c r="K307" s="3">
        <v>135.83333333333334</v>
      </c>
      <c r="L307" s="3">
        <v>10.535917404552654</v>
      </c>
      <c r="M307" s="3">
        <v>30</v>
      </c>
      <c r="N307" s="3">
        <v>0.45457311820146251</v>
      </c>
      <c r="O307" s="3">
        <v>0.18456249999999999</v>
      </c>
      <c r="P307" s="3">
        <v>3.88820273738754E-4</v>
      </c>
      <c r="Q307" s="3">
        <f t="shared" si="8"/>
        <v>25069.739583333332</v>
      </c>
      <c r="R307" s="3">
        <f t="shared" si="9"/>
        <v>1944.5352559777491</v>
      </c>
      <c r="S307" s="2" t="s">
        <v>49</v>
      </c>
      <c r="T307" s="2" t="s">
        <v>45</v>
      </c>
    </row>
    <row r="308" spans="1:20" x14ac:dyDescent="0.2">
      <c r="A308" s="2" t="s">
        <v>3</v>
      </c>
      <c r="B308" s="2" t="s">
        <v>45</v>
      </c>
      <c r="C308" s="2" t="s">
        <v>54</v>
      </c>
      <c r="D308" s="3">
        <v>440</v>
      </c>
      <c r="E308" s="3">
        <v>151</v>
      </c>
      <c r="F308" s="2" t="s">
        <v>34</v>
      </c>
      <c r="G308" s="3">
        <v>3.9836666666666666E-2</v>
      </c>
      <c r="H308" s="3">
        <v>3.5198470452879368E-2</v>
      </c>
      <c r="I308" s="3">
        <v>30</v>
      </c>
      <c r="J308" s="3">
        <v>1.0186082123465015E-6</v>
      </c>
      <c r="K308" s="3">
        <v>77.36666666666666</v>
      </c>
      <c r="L308" s="3">
        <v>26.301436378182004</v>
      </c>
      <c r="M308" s="3">
        <v>30</v>
      </c>
      <c r="N308" s="3">
        <v>0.45457311820146251</v>
      </c>
      <c r="O308" s="3">
        <v>0.19042190000000001</v>
      </c>
      <c r="P308" s="3">
        <v>3.9509157881339302E-4</v>
      </c>
      <c r="Q308" s="3">
        <f t="shared" si="8"/>
        <v>14732.307663333331</v>
      </c>
      <c r="R308" s="3">
        <f t="shared" si="9"/>
        <v>5008.3694878625356</v>
      </c>
      <c r="S308" s="2" t="s">
        <v>49</v>
      </c>
      <c r="T308" s="2" t="s">
        <v>45</v>
      </c>
    </row>
    <row r="309" spans="1:20" x14ac:dyDescent="0.2">
      <c r="A309" s="2" t="s">
        <v>4</v>
      </c>
      <c r="B309" s="2" t="s">
        <v>45</v>
      </c>
      <c r="C309" s="2" t="s">
        <v>53</v>
      </c>
      <c r="D309" s="3">
        <v>440</v>
      </c>
      <c r="E309" s="3">
        <v>151</v>
      </c>
      <c r="F309" s="2" t="s">
        <v>34</v>
      </c>
      <c r="G309" s="3">
        <v>7.9063333333333333E-2</v>
      </c>
      <c r="H309" s="3">
        <v>2.4139876875318888E-2</v>
      </c>
      <c r="I309" s="3">
        <v>30</v>
      </c>
      <c r="J309" s="3">
        <v>1.0186082123465015E-6</v>
      </c>
      <c r="K309" s="3">
        <v>45.4</v>
      </c>
      <c r="L309" s="3">
        <v>11.609191760554795</v>
      </c>
      <c r="M309" s="3">
        <v>30</v>
      </c>
      <c r="N309" s="3">
        <v>0.45457311820146251</v>
      </c>
      <c r="O309" s="3">
        <v>0.1650625</v>
      </c>
      <c r="P309" s="3">
        <v>3.4899986497172203E-4</v>
      </c>
      <c r="Q309" s="3">
        <f t="shared" si="8"/>
        <v>7493.8374999999996</v>
      </c>
      <c r="R309" s="3">
        <f t="shared" si="9"/>
        <v>1916.242214976576</v>
      </c>
      <c r="S309" s="2" t="s">
        <v>49</v>
      </c>
      <c r="T309" s="2" t="s">
        <v>45</v>
      </c>
    </row>
    <row r="310" spans="1:20" x14ac:dyDescent="0.2">
      <c r="A310" s="2" t="s">
        <v>5</v>
      </c>
      <c r="B310" s="2" t="s">
        <v>51</v>
      </c>
      <c r="C310" s="2" t="s">
        <v>53</v>
      </c>
      <c r="D310" s="3">
        <v>459</v>
      </c>
      <c r="E310" s="3">
        <v>151</v>
      </c>
      <c r="F310" s="2" t="s">
        <v>34</v>
      </c>
      <c r="G310" s="3">
        <v>8.3013333333333328E-2</v>
      </c>
      <c r="H310" s="3">
        <v>3.5109625777302471E-2</v>
      </c>
      <c r="I310" s="3">
        <v>30</v>
      </c>
      <c r="J310" s="3">
        <v>1.0186082123465015E-6</v>
      </c>
      <c r="K310" s="3">
        <v>30.3</v>
      </c>
      <c r="L310" s="3">
        <v>21.177267686523365</v>
      </c>
      <c r="M310" s="3">
        <v>30</v>
      </c>
      <c r="N310" s="3">
        <v>0.45457311820146251</v>
      </c>
      <c r="O310" s="3">
        <v>0.17873439999999999</v>
      </c>
      <c r="P310" s="3">
        <v>3.703359845901E-4</v>
      </c>
      <c r="Q310" s="3">
        <f t="shared" si="8"/>
        <v>5415.6523199999992</v>
      </c>
      <c r="R310" s="3">
        <f t="shared" si="9"/>
        <v>3785.1062335901415</v>
      </c>
      <c r="S310" s="2" t="s">
        <v>49</v>
      </c>
      <c r="T310" s="2" t="s">
        <v>45</v>
      </c>
    </row>
    <row r="311" spans="1:20" x14ac:dyDescent="0.2">
      <c r="A311" s="2" t="s">
        <v>6</v>
      </c>
      <c r="B311" s="2" t="s">
        <v>45</v>
      </c>
      <c r="C311" s="2" t="s">
        <v>54</v>
      </c>
      <c r="D311" s="3">
        <v>446</v>
      </c>
      <c r="E311" s="3">
        <v>151</v>
      </c>
      <c r="F311" s="2" t="s">
        <v>34</v>
      </c>
      <c r="G311" s="3">
        <v>3.2536666666666665E-2</v>
      </c>
      <c r="H311" s="3">
        <v>2.8898782942462391E-2</v>
      </c>
      <c r="I311" s="3">
        <v>30</v>
      </c>
      <c r="J311" s="3">
        <v>1.0186082123465015E-6</v>
      </c>
      <c r="K311" s="3">
        <v>45.266666666666666</v>
      </c>
      <c r="L311" s="3">
        <v>20.116217890603149</v>
      </c>
      <c r="M311" s="3">
        <v>30</v>
      </c>
      <c r="N311" s="3">
        <v>0.45457311820146251</v>
      </c>
      <c r="O311" s="3">
        <v>0.18379690000000001</v>
      </c>
      <c r="P311" s="3">
        <v>3.8477118056105499E-4</v>
      </c>
      <c r="Q311" s="3">
        <f t="shared" si="8"/>
        <v>8319.8730066666667</v>
      </c>
      <c r="R311" s="3">
        <f t="shared" si="9"/>
        <v>3697.2984880173981</v>
      </c>
      <c r="S311" s="2" t="s">
        <v>49</v>
      </c>
      <c r="T311" s="2" t="s">
        <v>45</v>
      </c>
    </row>
    <row r="312" spans="1:20" x14ac:dyDescent="0.2">
      <c r="A312" s="2" t="s">
        <v>7</v>
      </c>
      <c r="B312" s="2" t="s">
        <v>51</v>
      </c>
      <c r="C312" s="2" t="s">
        <v>53</v>
      </c>
      <c r="D312" s="3">
        <v>416</v>
      </c>
      <c r="E312" s="3">
        <v>151</v>
      </c>
      <c r="F312" s="2" t="s">
        <v>34</v>
      </c>
      <c r="G312" s="3">
        <v>0.13349666666666668</v>
      </c>
      <c r="H312" s="3">
        <v>3.3444874877259674E-2</v>
      </c>
      <c r="I312" s="3">
        <v>30</v>
      </c>
      <c r="J312" s="3">
        <v>1.0186082123465015E-6</v>
      </c>
      <c r="K312" s="3">
        <v>64.466666666666669</v>
      </c>
      <c r="L312" s="3">
        <v>14.761963133525148</v>
      </c>
      <c r="M312" s="3">
        <v>30</v>
      </c>
      <c r="N312" s="3">
        <v>0.45457311820146251</v>
      </c>
      <c r="O312" s="3">
        <v>0.17159379999999999</v>
      </c>
      <c r="P312" s="3">
        <v>3.4850294120243299E-4</v>
      </c>
      <c r="Q312" s="3">
        <f t="shared" si="8"/>
        <v>11062.080306666667</v>
      </c>
      <c r="R312" s="3">
        <f t="shared" si="9"/>
        <v>2533.0613495414877</v>
      </c>
      <c r="S312" s="2" t="s">
        <v>49</v>
      </c>
      <c r="T312" s="2" t="s">
        <v>46</v>
      </c>
    </row>
    <row r="313" spans="1:20" x14ac:dyDescent="0.2">
      <c r="A313" s="2" t="s">
        <v>8</v>
      </c>
      <c r="B313" s="2" t="s">
        <v>45</v>
      </c>
      <c r="C313" s="2" t="s">
        <v>54</v>
      </c>
      <c r="D313" s="3">
        <v>494</v>
      </c>
      <c r="E313" s="3">
        <v>151</v>
      </c>
      <c r="F313" s="2" t="s">
        <v>34</v>
      </c>
      <c r="G313" s="3">
        <v>2.9503571428571431E-2</v>
      </c>
      <c r="H313" s="3">
        <v>3.1666199669846906E-2</v>
      </c>
      <c r="I313" s="3">
        <v>30</v>
      </c>
      <c r="J313" s="3">
        <v>1.0186082123465015E-6</v>
      </c>
      <c r="K313" s="3">
        <v>31.866666666666667</v>
      </c>
      <c r="L313" s="3">
        <v>9.94898096400944</v>
      </c>
      <c r="M313" s="3">
        <v>30</v>
      </c>
      <c r="N313" s="3">
        <v>0.45457311820146251</v>
      </c>
      <c r="O313" s="3">
        <v>0.18670310000000001</v>
      </c>
      <c r="P313" s="3">
        <v>3.86700668228865E-4</v>
      </c>
      <c r="Q313" s="3">
        <f t="shared" si="8"/>
        <v>5949.6054533333336</v>
      </c>
      <c r="R313" s="3">
        <f t="shared" si="9"/>
        <v>1857.5055878215512</v>
      </c>
      <c r="S313" s="2" t="s">
        <v>49</v>
      </c>
      <c r="T313" s="2" t="s">
        <v>45</v>
      </c>
    </row>
    <row r="314" spans="1:20" x14ac:dyDescent="0.2">
      <c r="A314" s="2" t="s">
        <v>9</v>
      </c>
      <c r="B314" s="2" t="s">
        <v>51</v>
      </c>
      <c r="C314" s="2" t="s">
        <v>53</v>
      </c>
      <c r="D314" s="3">
        <v>480</v>
      </c>
      <c r="E314" s="3">
        <v>151</v>
      </c>
      <c r="F314" s="2" t="s">
        <v>34</v>
      </c>
      <c r="G314" s="3">
        <v>7.3199999999999987E-2</v>
      </c>
      <c r="H314" s="3">
        <v>2.8301931618413136E-2</v>
      </c>
      <c r="I314" s="3">
        <v>30</v>
      </c>
      <c r="J314" s="3">
        <v>1.0186082123465015E-6</v>
      </c>
      <c r="K314" s="3">
        <v>57.366666666666667</v>
      </c>
      <c r="L314" s="3">
        <v>24.308411895656384</v>
      </c>
      <c r="M314" s="3">
        <v>30</v>
      </c>
      <c r="N314" s="3">
        <v>0.45457311820146251</v>
      </c>
      <c r="O314" s="3">
        <v>0.1620781</v>
      </c>
      <c r="P314" s="3">
        <v>3.4093493199711098E-4</v>
      </c>
      <c r="Q314" s="3">
        <f t="shared" si="8"/>
        <v>9297.8803366666671</v>
      </c>
      <c r="R314" s="3">
        <f t="shared" si="9"/>
        <v>3939.861214065385</v>
      </c>
      <c r="S314" s="2" t="s">
        <v>49</v>
      </c>
      <c r="T314" s="2" t="s">
        <v>45</v>
      </c>
    </row>
    <row r="315" spans="1:20" x14ac:dyDescent="0.2">
      <c r="A315" s="2" t="s">
        <v>10</v>
      </c>
      <c r="B315" s="2" t="s">
        <v>45</v>
      </c>
      <c r="C315" s="2" t="s">
        <v>54</v>
      </c>
      <c r="D315" s="3">
        <v>480</v>
      </c>
      <c r="E315" s="3">
        <v>151</v>
      </c>
      <c r="F315" s="2" t="s">
        <v>34</v>
      </c>
      <c r="G315" s="3">
        <v>2.6082142857142859E-2</v>
      </c>
      <c r="H315" s="3">
        <v>3.3057029224091643E-2</v>
      </c>
      <c r="I315" s="3">
        <v>30</v>
      </c>
      <c r="J315" s="3">
        <v>1.0186082123465015E-6</v>
      </c>
      <c r="K315" s="3">
        <v>58.333333333333336</v>
      </c>
      <c r="L315" s="3">
        <v>18.542443803938635</v>
      </c>
      <c r="M315" s="3">
        <v>30</v>
      </c>
      <c r="N315" s="3">
        <v>0.45457311820146251</v>
      </c>
      <c r="O315" s="3">
        <v>0.1810156</v>
      </c>
      <c r="P315" s="3">
        <v>3.9244222606529101E-4</v>
      </c>
      <c r="Q315" s="3">
        <f t="shared" si="8"/>
        <v>10559.243333333334</v>
      </c>
      <c r="R315" s="3">
        <f t="shared" si="9"/>
        <v>3356.4715906362349</v>
      </c>
      <c r="S315" s="2" t="s">
        <v>49</v>
      </c>
      <c r="T315" s="2" t="s">
        <v>45</v>
      </c>
    </row>
    <row r="316" spans="1:20" x14ac:dyDescent="0.2">
      <c r="A316" s="2" t="s">
        <v>11</v>
      </c>
      <c r="B316" s="2" t="s">
        <v>45</v>
      </c>
      <c r="C316" s="2" t="s">
        <v>53</v>
      </c>
      <c r="D316" s="3">
        <v>480</v>
      </c>
      <c r="E316" s="3">
        <v>151</v>
      </c>
      <c r="F316" s="2" t="s">
        <v>34</v>
      </c>
      <c r="G316" s="3">
        <v>9.5159999999999995E-2</v>
      </c>
      <c r="H316" s="3">
        <v>3.5066029145028668E-2</v>
      </c>
      <c r="I316" s="3">
        <v>30</v>
      </c>
      <c r="J316" s="3">
        <v>1.0186082123465015E-6</v>
      </c>
      <c r="K316" s="3">
        <v>83.566666666666663</v>
      </c>
      <c r="L316" s="3">
        <v>17.408203685491376</v>
      </c>
      <c r="M316" s="3">
        <v>30</v>
      </c>
      <c r="N316" s="3">
        <v>0.45457311820146251</v>
      </c>
      <c r="O316" s="3">
        <v>0.17509379999999999</v>
      </c>
      <c r="P316" s="3">
        <v>3.7827166784490298E-4</v>
      </c>
      <c r="Q316" s="3">
        <f t="shared" si="8"/>
        <v>14632.005219999997</v>
      </c>
      <c r="R316" s="3">
        <f t="shared" si="9"/>
        <v>3048.0685344666895</v>
      </c>
      <c r="S316" s="2" t="s">
        <v>49</v>
      </c>
      <c r="T316" s="2" t="s">
        <v>45</v>
      </c>
    </row>
    <row r="317" spans="1:20" x14ac:dyDescent="0.2">
      <c r="A317" s="2" t="s">
        <v>12</v>
      </c>
      <c r="B317" s="2" t="s">
        <v>51</v>
      </c>
      <c r="C317" s="2" t="s">
        <v>54</v>
      </c>
      <c r="D317" s="3">
        <v>416</v>
      </c>
      <c r="E317" s="3">
        <v>151</v>
      </c>
      <c r="F317" s="2" t="s">
        <v>34</v>
      </c>
      <c r="G317" s="3">
        <v>3.0566666666666669E-2</v>
      </c>
      <c r="H317" s="3">
        <v>2.7542552935815923E-2</v>
      </c>
      <c r="I317" s="3">
        <v>30</v>
      </c>
      <c r="J317" s="3">
        <v>1.0186082123465015E-6</v>
      </c>
      <c r="K317" s="3">
        <v>29.066666666666663</v>
      </c>
      <c r="L317" s="3">
        <v>12.516478027872788</v>
      </c>
      <c r="M317" s="3">
        <v>30</v>
      </c>
      <c r="N317" s="3">
        <v>0.45457311820146251</v>
      </c>
      <c r="O317" s="3">
        <v>0.17723439999999999</v>
      </c>
      <c r="P317" s="3">
        <v>3.5141880102080501E-4</v>
      </c>
      <c r="Q317" s="3">
        <f t="shared" si="8"/>
        <v>5151.6132266666655</v>
      </c>
      <c r="R317" s="3">
        <f t="shared" si="9"/>
        <v>2218.3504733832169</v>
      </c>
      <c r="S317" s="2" t="s">
        <v>49</v>
      </c>
      <c r="T317" s="2" t="s">
        <v>46</v>
      </c>
    </row>
    <row r="318" spans="1:20" x14ac:dyDescent="0.2">
      <c r="A318" s="2" t="s">
        <v>13</v>
      </c>
      <c r="B318" s="2" t="s">
        <v>45</v>
      </c>
      <c r="C318" s="2" t="s">
        <v>54</v>
      </c>
      <c r="D318" s="3">
        <v>416</v>
      </c>
      <c r="E318" s="3">
        <v>151</v>
      </c>
      <c r="F318" s="2" t="s">
        <v>34</v>
      </c>
      <c r="G318" s="3">
        <v>3.024E-2</v>
      </c>
      <c r="H318" s="3">
        <v>2.5469388161739048E-2</v>
      </c>
      <c r="I318" s="3">
        <v>30</v>
      </c>
      <c r="J318" s="3">
        <v>1.0186082123465015E-6</v>
      </c>
      <c r="K318" s="3">
        <v>97.033333333333317</v>
      </c>
      <c r="L318" s="3">
        <v>23.573266402619911</v>
      </c>
      <c r="M318" s="3">
        <v>30</v>
      </c>
      <c r="N318" s="3">
        <v>0.45457311820146251</v>
      </c>
      <c r="O318" s="3">
        <v>0.16114059999999999</v>
      </c>
      <c r="P318" s="3">
        <v>3.16865313934445E-4</v>
      </c>
      <c r="Q318" s="3">
        <f t="shared" si="8"/>
        <v>15636.00955333333</v>
      </c>
      <c r="R318" s="3">
        <f t="shared" si="9"/>
        <v>3798.610292078014</v>
      </c>
      <c r="S318" s="2" t="s">
        <v>49</v>
      </c>
      <c r="T318" s="2" t="s">
        <v>46</v>
      </c>
    </row>
    <row r="319" spans="1:20" x14ac:dyDescent="0.2">
      <c r="A319" s="2" t="s">
        <v>14</v>
      </c>
      <c r="B319" s="2" t="s">
        <v>45</v>
      </c>
      <c r="C319" s="2" t="s">
        <v>53</v>
      </c>
      <c r="D319" s="3">
        <v>416</v>
      </c>
      <c r="E319" s="3">
        <v>151</v>
      </c>
      <c r="F319" s="2" t="s">
        <v>34</v>
      </c>
      <c r="G319" s="3">
        <v>0.11026</v>
      </c>
      <c r="H319" s="3">
        <v>5.2905794263640608E-2</v>
      </c>
      <c r="I319" s="3">
        <v>30</v>
      </c>
      <c r="J319" s="3">
        <v>1.0186082123465015E-6</v>
      </c>
      <c r="K319" s="3">
        <v>160</v>
      </c>
      <c r="L319" s="3">
        <v>9.0847858165910207</v>
      </c>
      <c r="M319" s="3">
        <v>30</v>
      </c>
      <c r="N319" s="3">
        <v>0.45457311820146251</v>
      </c>
      <c r="O319" s="3">
        <v>0.15904689999999999</v>
      </c>
      <c r="P319" s="3">
        <v>3.2431975959476702E-4</v>
      </c>
      <c r="Q319" s="3">
        <f t="shared" si="8"/>
        <v>25447.503999999997</v>
      </c>
      <c r="R319" s="3">
        <f t="shared" si="9"/>
        <v>1444.9070212927702</v>
      </c>
      <c r="S319" s="2" t="s">
        <v>49</v>
      </c>
      <c r="T319" s="2" t="s">
        <v>46</v>
      </c>
    </row>
    <row r="320" spans="1:20" x14ac:dyDescent="0.2">
      <c r="A320" s="2" t="s">
        <v>15</v>
      </c>
      <c r="B320" s="2" t="s">
        <v>51</v>
      </c>
      <c r="C320" s="2" t="s">
        <v>53</v>
      </c>
      <c r="D320" s="3">
        <v>432</v>
      </c>
      <c r="E320" s="3">
        <v>151</v>
      </c>
      <c r="F320" s="2" t="s">
        <v>34</v>
      </c>
      <c r="G320" s="3">
        <v>9.787666666666664E-2</v>
      </c>
      <c r="H320" s="3">
        <v>4.2905389586339333E-2</v>
      </c>
      <c r="I320" s="3">
        <v>30</v>
      </c>
      <c r="J320" s="3">
        <v>1.0186082123465015E-6</v>
      </c>
      <c r="K320" s="3">
        <v>143.6</v>
      </c>
      <c r="L320" s="3">
        <v>9.2541882410074194</v>
      </c>
      <c r="M320" s="3">
        <v>30</v>
      </c>
      <c r="N320" s="3">
        <v>0.45457311820146251</v>
      </c>
      <c r="O320" s="3">
        <v>0.1730313</v>
      </c>
      <c r="P320" s="3">
        <v>3.4847240672030702E-4</v>
      </c>
      <c r="Q320" s="3">
        <f t="shared" si="8"/>
        <v>24847.294679999999</v>
      </c>
      <c r="R320" s="3">
        <f t="shared" si="9"/>
        <v>1601.2642217862272</v>
      </c>
      <c r="S320" s="2" t="s">
        <v>49</v>
      </c>
      <c r="T320" s="2" t="s">
        <v>45</v>
      </c>
    </row>
    <row r="321" spans="1:20" x14ac:dyDescent="0.2">
      <c r="A321" s="2" t="s">
        <v>16</v>
      </c>
      <c r="B321" s="2" t="s">
        <v>45</v>
      </c>
      <c r="C321" s="2" t="s">
        <v>53</v>
      </c>
      <c r="D321" s="3">
        <v>432</v>
      </c>
      <c r="E321" s="3">
        <v>151</v>
      </c>
      <c r="F321" s="2" t="s">
        <v>34</v>
      </c>
      <c r="G321" s="3">
        <v>0.11788333333333333</v>
      </c>
      <c r="H321" s="3">
        <v>3.3987420058342502E-2</v>
      </c>
      <c r="I321" s="3">
        <v>30</v>
      </c>
      <c r="J321" s="3">
        <v>1.0186082123465015E-6</v>
      </c>
      <c r="K321" s="3">
        <v>135.6</v>
      </c>
      <c r="L321" s="3">
        <v>10.691429589473367</v>
      </c>
      <c r="M321" s="3">
        <v>30</v>
      </c>
      <c r="N321" s="3">
        <v>0.45457311820146251</v>
      </c>
      <c r="O321" s="3">
        <v>0.15245310000000001</v>
      </c>
      <c r="P321" s="3">
        <v>3.2459817215812299E-4</v>
      </c>
      <c r="Q321" s="3">
        <f t="shared" si="8"/>
        <v>20672.640360000001</v>
      </c>
      <c r="R321" s="3">
        <f t="shared" si="9"/>
        <v>1629.9415843469424</v>
      </c>
      <c r="S321" s="2" t="s">
        <v>49</v>
      </c>
      <c r="T321" s="2" t="s">
        <v>45</v>
      </c>
    </row>
    <row r="322" spans="1:20" x14ac:dyDescent="0.2">
      <c r="A322" s="2" t="s">
        <v>1</v>
      </c>
      <c r="B322" s="2" t="s">
        <v>51</v>
      </c>
      <c r="C322" s="2" t="s">
        <v>53</v>
      </c>
      <c r="D322" s="3">
        <v>443</v>
      </c>
      <c r="E322" s="3">
        <v>168</v>
      </c>
      <c r="F322" s="2" t="s">
        <v>23</v>
      </c>
      <c r="G322" s="3">
        <v>4.7328571428571428E-2</v>
      </c>
      <c r="H322" s="3">
        <v>5.0921928037948844E-2</v>
      </c>
      <c r="I322" s="3">
        <v>30</v>
      </c>
      <c r="J322" s="3">
        <v>2.4639021948926278E-2</v>
      </c>
      <c r="K322" s="3">
        <v>50.43333333333333</v>
      </c>
      <c r="L322" s="3">
        <v>27.13753038792505</v>
      </c>
      <c r="M322" s="3">
        <v>30</v>
      </c>
      <c r="N322" s="3">
        <v>0.24420262345206528</v>
      </c>
      <c r="O322" s="3">
        <v>2.0223749999999998</v>
      </c>
      <c r="P322" s="3">
        <v>4.1645664842058496E-3</v>
      </c>
      <c r="Q322" s="3">
        <f t="shared" si="8"/>
        <v>101995.11249999997</v>
      </c>
      <c r="R322" s="3">
        <f t="shared" si="9"/>
        <v>54882.263018279918</v>
      </c>
      <c r="S322" s="2" t="s">
        <v>49</v>
      </c>
      <c r="T322" s="2" t="s">
        <v>45</v>
      </c>
    </row>
    <row r="323" spans="1:20" x14ac:dyDescent="0.2">
      <c r="A323" s="2" t="s">
        <v>2</v>
      </c>
      <c r="B323" s="2" t="s">
        <v>51</v>
      </c>
      <c r="C323" s="2" t="s">
        <v>54</v>
      </c>
      <c r="D323" s="3">
        <v>459</v>
      </c>
      <c r="E323" s="3">
        <v>168</v>
      </c>
      <c r="F323" s="2" t="s">
        <v>23</v>
      </c>
      <c r="G323" s="3">
        <v>3.741333333333334E-2</v>
      </c>
      <c r="H323" s="3">
        <v>2.4320042945868516E-2</v>
      </c>
      <c r="I323" s="3">
        <v>30</v>
      </c>
      <c r="J323" s="3">
        <v>2.4639021948926278E-2</v>
      </c>
      <c r="K323" s="3">
        <v>13.033333333333331</v>
      </c>
      <c r="L323" s="3">
        <v>23.285880318816002</v>
      </c>
      <c r="M323" s="3">
        <v>30</v>
      </c>
      <c r="N323" s="3">
        <v>0.24420262345206528</v>
      </c>
      <c r="O323" s="3">
        <v>2.1276410000000001</v>
      </c>
      <c r="P323" s="3">
        <v>4.4823295958702101E-3</v>
      </c>
      <c r="Q323" s="3">
        <f t="shared" ref="Q323:Q353" si="10">K323*1000*O323</f>
        <v>27730.254366666664</v>
      </c>
      <c r="R323" s="3">
        <f t="shared" ref="R323:R353" si="11">L323*1000*O323</f>
        <v>49543.993687406</v>
      </c>
      <c r="S323" s="2" t="s">
        <v>49</v>
      </c>
      <c r="T323" s="2" t="s">
        <v>45</v>
      </c>
    </row>
    <row r="324" spans="1:20" x14ac:dyDescent="0.2">
      <c r="A324" s="2" t="s">
        <v>3</v>
      </c>
      <c r="B324" s="2" t="s">
        <v>45</v>
      </c>
      <c r="C324" s="2" t="s">
        <v>54</v>
      </c>
      <c r="D324" s="3">
        <v>440</v>
      </c>
      <c r="E324" s="3">
        <v>168</v>
      </c>
      <c r="F324" s="2" t="s">
        <v>23</v>
      </c>
      <c r="G324" s="3">
        <v>5.3599999999999988E-2</v>
      </c>
      <c r="H324" s="3">
        <v>4.6544688203918605E-2</v>
      </c>
      <c r="I324" s="3">
        <v>30</v>
      </c>
      <c r="J324" s="3">
        <v>2.4639021948926278E-2</v>
      </c>
      <c r="K324" s="3">
        <v>47.6</v>
      </c>
      <c r="L324" s="3">
        <v>20.950099442882522</v>
      </c>
      <c r="M324" s="3">
        <v>30</v>
      </c>
      <c r="N324" s="3">
        <v>0.24420262345206528</v>
      </c>
      <c r="O324" s="3">
        <v>2.1549999999999998</v>
      </c>
      <c r="P324" s="3">
        <v>4.4712417654842298E-3</v>
      </c>
      <c r="Q324" s="3">
        <f t="shared" si="10"/>
        <v>102577.99999999999</v>
      </c>
      <c r="R324" s="3">
        <f t="shared" si="11"/>
        <v>45147.464299411833</v>
      </c>
      <c r="S324" s="2" t="s">
        <v>49</v>
      </c>
      <c r="T324" s="2" t="s">
        <v>45</v>
      </c>
    </row>
    <row r="325" spans="1:20" x14ac:dyDescent="0.2">
      <c r="A325" s="2" t="s">
        <v>4</v>
      </c>
      <c r="B325" s="2" t="s">
        <v>45</v>
      </c>
      <c r="C325" s="2" t="s">
        <v>53</v>
      </c>
      <c r="D325" s="3">
        <v>440</v>
      </c>
      <c r="E325" s="3">
        <v>168</v>
      </c>
      <c r="F325" s="2" t="s">
        <v>23</v>
      </c>
      <c r="G325" s="3">
        <v>4.0100000000000004E-2</v>
      </c>
      <c r="H325" s="3">
        <v>3.6033526055605489E-2</v>
      </c>
      <c r="I325" s="3">
        <v>30</v>
      </c>
      <c r="J325" s="3">
        <v>2.4639021948926278E-2</v>
      </c>
      <c r="K325" s="3">
        <v>31.766666666666666</v>
      </c>
      <c r="L325" s="3">
        <v>20.686039307277316</v>
      </c>
      <c r="M325" s="3">
        <v>30</v>
      </c>
      <c r="N325" s="3">
        <v>0.24420262345206528</v>
      </c>
      <c r="O325" s="3">
        <v>2.1031719999999998</v>
      </c>
      <c r="P325" s="3">
        <v>4.4468413116989401E-3</v>
      </c>
      <c r="Q325" s="3">
        <f t="shared" si="10"/>
        <v>66810.763866666661</v>
      </c>
      <c r="R325" s="3">
        <f t="shared" si="11"/>
        <v>43506.29866196504</v>
      </c>
      <c r="S325" s="2" t="s">
        <v>49</v>
      </c>
      <c r="T325" s="2" t="s">
        <v>45</v>
      </c>
    </row>
    <row r="326" spans="1:20" x14ac:dyDescent="0.2">
      <c r="A326" s="2" t="s">
        <v>5</v>
      </c>
      <c r="B326" s="2" t="s">
        <v>51</v>
      </c>
      <c r="C326" s="2" t="s">
        <v>53</v>
      </c>
      <c r="D326" s="3">
        <v>459</v>
      </c>
      <c r="E326" s="3">
        <v>168</v>
      </c>
      <c r="F326" s="2" t="s">
        <v>23</v>
      </c>
      <c r="G326" s="3">
        <v>4.5338095238095233E-2</v>
      </c>
      <c r="H326" s="3">
        <v>3.3285539205207507E-2</v>
      </c>
      <c r="I326" s="3">
        <v>30</v>
      </c>
      <c r="J326" s="3">
        <v>2.4639021948926278E-2</v>
      </c>
      <c r="K326" s="3">
        <v>21.033333333333335</v>
      </c>
      <c r="L326" s="3">
        <v>17.675752380654757</v>
      </c>
      <c r="M326" s="3">
        <v>30</v>
      </c>
      <c r="N326" s="3">
        <v>0.24420262345206528</v>
      </c>
      <c r="O326" s="3">
        <v>2.0606559999999998</v>
      </c>
      <c r="P326" s="3">
        <v>4.2696597222554597E-3</v>
      </c>
      <c r="Q326" s="3">
        <f t="shared" si="10"/>
        <v>43342.464533333332</v>
      </c>
      <c r="R326" s="3">
        <f t="shared" si="11"/>
        <v>36423.64519771051</v>
      </c>
      <c r="S326" s="2" t="s">
        <v>49</v>
      </c>
      <c r="T326" s="2" t="s">
        <v>45</v>
      </c>
    </row>
    <row r="327" spans="1:20" x14ac:dyDescent="0.2">
      <c r="A327" s="2" t="s">
        <v>6</v>
      </c>
      <c r="B327" s="2" t="s">
        <v>45</v>
      </c>
      <c r="C327" s="2" t="s">
        <v>54</v>
      </c>
      <c r="D327" s="3">
        <v>446</v>
      </c>
      <c r="E327" s="3">
        <v>168</v>
      </c>
      <c r="F327" s="2" t="s">
        <v>23</v>
      </c>
      <c r="G327" s="3">
        <v>1.5378947368421053E-2</v>
      </c>
      <c r="H327" s="3">
        <v>2.6984958362749702E-2</v>
      </c>
      <c r="I327" s="3">
        <v>30</v>
      </c>
      <c r="J327" s="3">
        <v>2.4639021948926278E-2</v>
      </c>
      <c r="K327" s="3">
        <v>51.833333333333336</v>
      </c>
      <c r="L327" s="3">
        <v>33.470467911611607</v>
      </c>
      <c r="M327" s="3">
        <v>30</v>
      </c>
      <c r="N327" s="3">
        <v>0.24420262345206528</v>
      </c>
      <c r="O327" s="3">
        <v>2.1722809999999999</v>
      </c>
      <c r="P327" s="3">
        <v>4.5475800999927101E-3</v>
      </c>
      <c r="Q327" s="3">
        <f t="shared" si="10"/>
        <v>112596.56516666667</v>
      </c>
      <c r="R327" s="3">
        <f t="shared" si="11"/>
        <v>72707.261505503571</v>
      </c>
      <c r="S327" s="2" t="s">
        <v>49</v>
      </c>
      <c r="T327" s="2" t="s">
        <v>45</v>
      </c>
    </row>
    <row r="328" spans="1:20" x14ac:dyDescent="0.2">
      <c r="A328" s="2" t="s">
        <v>7</v>
      </c>
      <c r="B328" s="2" t="s">
        <v>51</v>
      </c>
      <c r="C328" s="2" t="s">
        <v>53</v>
      </c>
      <c r="D328" s="3">
        <v>416</v>
      </c>
      <c r="E328" s="3">
        <v>168</v>
      </c>
      <c r="F328" s="2" t="s">
        <v>23</v>
      </c>
      <c r="G328" s="3">
        <v>0.11636333333333332</v>
      </c>
      <c r="H328" s="3">
        <v>3.8405611424489637E-2</v>
      </c>
      <c r="I328" s="3">
        <v>30</v>
      </c>
      <c r="J328" s="3">
        <v>2.4639021948926278E-2</v>
      </c>
      <c r="K328" s="3">
        <v>27.233333333333334</v>
      </c>
      <c r="L328" s="3">
        <v>17.880498377344583</v>
      </c>
      <c r="M328" s="3">
        <v>30</v>
      </c>
      <c r="N328" s="3">
        <v>0.24420262345206528</v>
      </c>
      <c r="O328" s="3">
        <v>1.9519690000000001</v>
      </c>
      <c r="P328" s="3">
        <v>3.9644027793310204E-3</v>
      </c>
      <c r="Q328" s="3">
        <f t="shared" si="10"/>
        <v>53158.622433333338</v>
      </c>
      <c r="R328" s="3">
        <f t="shared" si="11"/>
        <v>34902.178537126929</v>
      </c>
      <c r="S328" s="2" t="s">
        <v>49</v>
      </c>
      <c r="T328" s="2" t="s">
        <v>46</v>
      </c>
    </row>
    <row r="329" spans="1:20" x14ac:dyDescent="0.2">
      <c r="A329" s="2" t="s">
        <v>8</v>
      </c>
      <c r="B329" s="2" t="s">
        <v>45</v>
      </c>
      <c r="C329" s="2" t="s">
        <v>54</v>
      </c>
      <c r="D329" s="3">
        <v>494</v>
      </c>
      <c r="E329" s="3">
        <v>168</v>
      </c>
      <c r="F329" s="2" t="s">
        <v>23</v>
      </c>
      <c r="G329" s="3">
        <v>2.7494736842105256E-2</v>
      </c>
      <c r="H329" s="3">
        <v>2.8233136069150535E-2</v>
      </c>
      <c r="I329" s="3">
        <v>30</v>
      </c>
      <c r="J329" s="3">
        <v>2.4639021948926278E-2</v>
      </c>
      <c r="K329" s="3">
        <v>44.3</v>
      </c>
      <c r="L329" s="3">
        <v>31.502539580167181</v>
      </c>
      <c r="M329" s="3">
        <v>30</v>
      </c>
      <c r="N329" s="3">
        <v>0.24420262345206528</v>
      </c>
      <c r="O329" s="3">
        <v>2.2489849999999998</v>
      </c>
      <c r="P329" s="3">
        <v>4.6581122773895704E-3</v>
      </c>
      <c r="Q329" s="3">
        <f t="shared" si="10"/>
        <v>99630.035499999984</v>
      </c>
      <c r="R329" s="3">
        <f t="shared" si="11"/>
        <v>70848.738977702276</v>
      </c>
      <c r="S329" s="2" t="s">
        <v>49</v>
      </c>
      <c r="T329" s="2" t="s">
        <v>45</v>
      </c>
    </row>
    <row r="330" spans="1:20" x14ac:dyDescent="0.2">
      <c r="A330" s="2" t="s">
        <v>9</v>
      </c>
      <c r="B330" s="2" t="s">
        <v>51</v>
      </c>
      <c r="C330" s="2" t="s">
        <v>53</v>
      </c>
      <c r="D330" s="3">
        <v>480</v>
      </c>
      <c r="E330" s="3">
        <v>168</v>
      </c>
      <c r="F330" s="2" t="s">
        <v>23</v>
      </c>
      <c r="G330" s="3">
        <v>4.780333333333333E-2</v>
      </c>
      <c r="H330" s="3">
        <v>3.9261376129162306E-2</v>
      </c>
      <c r="I330" s="3">
        <v>30</v>
      </c>
      <c r="J330" s="3">
        <v>2.4639021948926278E-2</v>
      </c>
      <c r="K330" s="3">
        <v>35.200000000000003</v>
      </c>
      <c r="L330" s="3">
        <v>23.206895526976457</v>
      </c>
      <c r="M330" s="3">
        <v>30</v>
      </c>
      <c r="N330" s="3">
        <v>0.24420262345206528</v>
      </c>
      <c r="O330" s="3">
        <v>1.8685160000000001</v>
      </c>
      <c r="P330" s="3">
        <v>3.9304654693972504E-3</v>
      </c>
      <c r="Q330" s="3">
        <f t="shared" si="10"/>
        <v>65771.763200000001</v>
      </c>
      <c r="R330" s="3">
        <f t="shared" si="11"/>
        <v>43362.45560248394</v>
      </c>
      <c r="S330" s="2" t="s">
        <v>49</v>
      </c>
      <c r="T330" s="2" t="s">
        <v>45</v>
      </c>
    </row>
    <row r="331" spans="1:20" x14ac:dyDescent="0.2">
      <c r="A331" s="2" t="s">
        <v>10</v>
      </c>
      <c r="B331" s="2" t="s">
        <v>45</v>
      </c>
      <c r="C331" s="2" t="s">
        <v>54</v>
      </c>
      <c r="D331" s="3">
        <v>480</v>
      </c>
      <c r="E331" s="3">
        <v>168</v>
      </c>
      <c r="F331" s="2" t="s">
        <v>23</v>
      </c>
      <c r="G331" s="3">
        <v>2.770434782608696E-2</v>
      </c>
      <c r="H331" s="3">
        <v>3.4443822923975027E-2</v>
      </c>
      <c r="I331" s="3">
        <v>30</v>
      </c>
      <c r="J331" s="3">
        <v>2.4639021948926278E-2</v>
      </c>
      <c r="K331" s="3">
        <v>19.433333333333337</v>
      </c>
      <c r="L331" s="3">
        <v>12.467780698887656</v>
      </c>
      <c r="M331" s="3">
        <v>30</v>
      </c>
      <c r="N331" s="3">
        <v>0.24420262345206528</v>
      </c>
      <c r="O331" s="3">
        <v>2.1691250000000002</v>
      </c>
      <c r="P331" s="3">
        <v>4.7026678563277203E-3</v>
      </c>
      <c r="Q331" s="3">
        <f t="shared" si="10"/>
        <v>42153.329166666677</v>
      </c>
      <c r="R331" s="3">
        <f t="shared" si="11"/>
        <v>27044.174808474691</v>
      </c>
      <c r="S331" s="2" t="s">
        <v>49</v>
      </c>
      <c r="T331" s="2" t="s">
        <v>45</v>
      </c>
    </row>
    <row r="332" spans="1:20" x14ac:dyDescent="0.2">
      <c r="A332" s="2" t="s">
        <v>11</v>
      </c>
      <c r="B332" s="2" t="s">
        <v>45</v>
      </c>
      <c r="C332" s="2" t="s">
        <v>53</v>
      </c>
      <c r="D332" s="3">
        <v>480</v>
      </c>
      <c r="E332" s="3">
        <v>168</v>
      </c>
      <c r="F332" s="2" t="s">
        <v>23</v>
      </c>
      <c r="G332" s="3">
        <v>4.159310344827586E-2</v>
      </c>
      <c r="H332" s="3">
        <v>3.8566386391962186E-2</v>
      </c>
      <c r="I332" s="3">
        <v>30</v>
      </c>
      <c r="J332" s="3">
        <v>2.4639021948926278E-2</v>
      </c>
      <c r="K332" s="3">
        <v>49.5</v>
      </c>
      <c r="L332" s="3">
        <v>17.202228537799012</v>
      </c>
      <c r="M332" s="3">
        <v>30</v>
      </c>
      <c r="N332" s="3">
        <v>0.24420262345206528</v>
      </c>
      <c r="O332" s="3">
        <v>2.0873750000000002</v>
      </c>
      <c r="P332" s="3">
        <v>4.5095532946783602E-3</v>
      </c>
      <c r="Q332" s="3">
        <f t="shared" si="10"/>
        <v>103325.06250000001</v>
      </c>
      <c r="R332" s="3">
        <f t="shared" si="11"/>
        <v>35907.501794088217</v>
      </c>
      <c r="S332" s="2" t="s">
        <v>49</v>
      </c>
      <c r="T332" s="2" t="s">
        <v>45</v>
      </c>
    </row>
    <row r="333" spans="1:20" x14ac:dyDescent="0.2">
      <c r="A333" s="2" t="s">
        <v>12</v>
      </c>
      <c r="B333" s="2" t="s">
        <v>51</v>
      </c>
      <c r="C333" s="2" t="s">
        <v>54</v>
      </c>
      <c r="D333" s="3">
        <v>416</v>
      </c>
      <c r="E333" s="3">
        <v>168</v>
      </c>
      <c r="F333" s="2" t="s">
        <v>23</v>
      </c>
      <c r="G333" s="3">
        <v>4.1290000000000007E-2</v>
      </c>
      <c r="H333" s="3">
        <v>2.2601406298429015E-2</v>
      </c>
      <c r="I333" s="3">
        <v>30</v>
      </c>
      <c r="J333" s="3">
        <v>2.4639021948926278E-2</v>
      </c>
      <c r="K333" s="3">
        <v>9.7666666666666675</v>
      </c>
      <c r="L333" s="3">
        <v>18.463808443065648</v>
      </c>
      <c r="M333" s="3">
        <v>30</v>
      </c>
      <c r="N333" s="3">
        <v>0.24420262345206528</v>
      </c>
      <c r="O333" s="3">
        <v>2.199344</v>
      </c>
      <c r="P333" s="3">
        <v>4.3608398342099598E-3</v>
      </c>
      <c r="Q333" s="3">
        <f t="shared" si="10"/>
        <v>21480.259733333336</v>
      </c>
      <c r="R333" s="3">
        <f t="shared" si="11"/>
        <v>40608.266316405774</v>
      </c>
      <c r="S333" s="2" t="s">
        <v>49</v>
      </c>
      <c r="T333" s="2" t="s">
        <v>46</v>
      </c>
    </row>
    <row r="334" spans="1:20" x14ac:dyDescent="0.2">
      <c r="A334" s="2" t="s">
        <v>13</v>
      </c>
      <c r="B334" s="2" t="s">
        <v>45</v>
      </c>
      <c r="C334" s="2" t="s">
        <v>54</v>
      </c>
      <c r="D334" s="3">
        <v>416</v>
      </c>
      <c r="E334" s="3">
        <v>168</v>
      </c>
      <c r="F334" s="2" t="s">
        <v>23</v>
      </c>
      <c r="G334" s="3">
        <v>5.531724137931035E-2</v>
      </c>
      <c r="H334" s="3">
        <v>4.2988026151360006E-2</v>
      </c>
      <c r="I334" s="3">
        <v>30</v>
      </c>
      <c r="J334" s="3">
        <v>2.4639021948926278E-2</v>
      </c>
      <c r="K334" s="3">
        <v>20.6</v>
      </c>
      <c r="L334" s="3">
        <v>17.26962651593832</v>
      </c>
      <c r="M334" s="3">
        <v>30</v>
      </c>
      <c r="N334" s="3">
        <v>0.24420262345206528</v>
      </c>
      <c r="O334" s="3">
        <v>2.237625</v>
      </c>
      <c r="P334" s="3">
        <v>4.40004411112136E-3</v>
      </c>
      <c r="Q334" s="3">
        <f t="shared" si="10"/>
        <v>46095.074999999997</v>
      </c>
      <c r="R334" s="3">
        <f t="shared" si="11"/>
        <v>38642.94803272649</v>
      </c>
      <c r="S334" s="2" t="s">
        <v>49</v>
      </c>
      <c r="T334" s="2" t="s">
        <v>46</v>
      </c>
    </row>
    <row r="335" spans="1:20" x14ac:dyDescent="0.2">
      <c r="A335" s="2" t="s">
        <v>14</v>
      </c>
      <c r="B335" s="2" t="s">
        <v>45</v>
      </c>
      <c r="C335" s="2" t="s">
        <v>53</v>
      </c>
      <c r="D335" s="3">
        <v>416</v>
      </c>
      <c r="E335" s="3">
        <v>168</v>
      </c>
      <c r="F335" s="2" t="s">
        <v>23</v>
      </c>
      <c r="G335" s="3">
        <v>8.4246666666666664E-2</v>
      </c>
      <c r="H335" s="3">
        <v>4.0894316910245067E-2</v>
      </c>
      <c r="I335" s="3">
        <v>30</v>
      </c>
      <c r="J335" s="3">
        <v>2.4639021948926278E-2</v>
      </c>
      <c r="K335" s="3">
        <v>48.266666666666666</v>
      </c>
      <c r="L335" s="3">
        <v>35.690272562079926</v>
      </c>
      <c r="M335" s="3">
        <v>30</v>
      </c>
      <c r="N335" s="3">
        <v>0.24420262345206528</v>
      </c>
      <c r="O335" s="3">
        <v>2.0866250000000002</v>
      </c>
      <c r="P335" s="3">
        <v>4.2549318368633997E-3</v>
      </c>
      <c r="Q335" s="3">
        <f t="shared" si="10"/>
        <v>100714.43333333333</v>
      </c>
      <c r="R335" s="3">
        <f t="shared" si="11"/>
        <v>74472.214984850027</v>
      </c>
      <c r="S335" s="2" t="s">
        <v>49</v>
      </c>
      <c r="T335" s="2" t="s">
        <v>46</v>
      </c>
    </row>
    <row r="336" spans="1:20" x14ac:dyDescent="0.2">
      <c r="A336" s="2" t="s">
        <v>15</v>
      </c>
      <c r="B336" s="2" t="s">
        <v>51</v>
      </c>
      <c r="C336" s="2" t="s">
        <v>53</v>
      </c>
      <c r="D336" s="3">
        <v>432</v>
      </c>
      <c r="E336" s="3">
        <v>168</v>
      </c>
      <c r="F336" s="2" t="s">
        <v>23</v>
      </c>
      <c r="G336" s="3">
        <v>8.9323333333333324E-2</v>
      </c>
      <c r="H336" s="3">
        <v>3.9033290777090376E-2</v>
      </c>
      <c r="I336" s="3">
        <v>30</v>
      </c>
      <c r="J336" s="3">
        <v>2.4639021948926278E-2</v>
      </c>
      <c r="K336" s="3">
        <v>86.266666666666666</v>
      </c>
      <c r="L336" s="3">
        <v>27.109571905304755</v>
      </c>
      <c r="M336" s="3">
        <v>30</v>
      </c>
      <c r="N336" s="3">
        <v>0.24420262345206528</v>
      </c>
      <c r="O336" s="3">
        <v>1.878109</v>
      </c>
      <c r="P336" s="3">
        <v>3.7823744219286802E-3</v>
      </c>
      <c r="Q336" s="3">
        <f t="shared" si="10"/>
        <v>162018.20306666667</v>
      </c>
      <c r="R336" s="3">
        <f t="shared" si="11"/>
        <v>50914.730981500004</v>
      </c>
      <c r="S336" s="2" t="s">
        <v>49</v>
      </c>
      <c r="T336" s="2" t="s">
        <v>45</v>
      </c>
    </row>
    <row r="337" spans="1:20" x14ac:dyDescent="0.2">
      <c r="A337" s="2" t="s">
        <v>16</v>
      </c>
      <c r="B337" s="2" t="s">
        <v>45</v>
      </c>
      <c r="C337" s="2" t="s">
        <v>53</v>
      </c>
      <c r="D337" s="3">
        <v>432</v>
      </c>
      <c r="E337" s="3">
        <v>168</v>
      </c>
      <c r="F337" s="2" t="s">
        <v>23</v>
      </c>
      <c r="G337" s="3">
        <v>7.9553333333333337E-2</v>
      </c>
      <c r="H337" s="3">
        <v>4.8522632061979314E-2</v>
      </c>
      <c r="I337" s="3">
        <v>30</v>
      </c>
      <c r="J337" s="3">
        <v>2.4639021948926278E-2</v>
      </c>
      <c r="K337" s="3">
        <v>22.233333333333334</v>
      </c>
      <c r="L337" s="3">
        <v>19.071240710090738</v>
      </c>
      <c r="M337" s="3">
        <v>30</v>
      </c>
      <c r="N337" s="3">
        <v>0.24420262345206528</v>
      </c>
      <c r="O337" s="3">
        <v>2.0164529999999998</v>
      </c>
      <c r="P337" s="3">
        <v>4.2933660125164001E-3</v>
      </c>
      <c r="Q337" s="3">
        <f t="shared" si="10"/>
        <v>44832.471700000002</v>
      </c>
      <c r="R337" s="3">
        <f t="shared" si="11"/>
        <v>38456.260543584591</v>
      </c>
      <c r="S337" s="2" t="s">
        <v>49</v>
      </c>
      <c r="T337" s="2" t="s">
        <v>45</v>
      </c>
    </row>
    <row r="338" spans="1:20" x14ac:dyDescent="0.2">
      <c r="A338" s="2" t="s">
        <v>1</v>
      </c>
      <c r="B338" s="2" t="s">
        <v>51</v>
      </c>
      <c r="C338" s="2" t="s">
        <v>53</v>
      </c>
      <c r="D338" s="3">
        <v>443</v>
      </c>
      <c r="E338" s="3">
        <v>169</v>
      </c>
      <c r="F338" s="2" t="s">
        <v>43</v>
      </c>
      <c r="G338" s="3">
        <v>5.5516666666666672E-2</v>
      </c>
      <c r="H338" s="3">
        <v>3.2394732939510743E-2</v>
      </c>
      <c r="I338" s="3">
        <v>30</v>
      </c>
      <c r="J338" s="3">
        <v>6.1543066804122812E-3</v>
      </c>
      <c r="K338" s="3">
        <v>8.3333333333333339</v>
      </c>
      <c r="L338" s="3">
        <v>7.3227195919427519</v>
      </c>
      <c r="M338" s="3">
        <v>30</v>
      </c>
      <c r="N338" s="3">
        <v>0.89566904267089797</v>
      </c>
      <c r="O338" s="3">
        <v>0.29212500000000002</v>
      </c>
      <c r="P338" s="3">
        <v>6.0155707235237405E-4</v>
      </c>
      <c r="Q338" s="3">
        <f t="shared" si="10"/>
        <v>2434.3750000000005</v>
      </c>
      <c r="R338" s="3">
        <f t="shared" si="11"/>
        <v>2139.1494607962768</v>
      </c>
      <c r="S338" s="2" t="s">
        <v>49</v>
      </c>
      <c r="T338" s="2" t="s">
        <v>45</v>
      </c>
    </row>
    <row r="339" spans="1:20" x14ac:dyDescent="0.2">
      <c r="A339" s="2" t="s">
        <v>2</v>
      </c>
      <c r="B339" s="2" t="s">
        <v>51</v>
      </c>
      <c r="C339" s="2" t="s">
        <v>54</v>
      </c>
      <c r="D339" s="3">
        <v>459</v>
      </c>
      <c r="E339" s="3">
        <v>169</v>
      </c>
      <c r="F339" s="2" t="s">
        <v>43</v>
      </c>
      <c r="G339" s="3">
        <v>5.9260000000000007E-2</v>
      </c>
      <c r="H339" s="3">
        <v>3.7029012049112707E-2</v>
      </c>
      <c r="I339" s="3">
        <v>30</v>
      </c>
      <c r="J339" s="3">
        <v>6.1543066804122812E-3</v>
      </c>
      <c r="K339" s="3">
        <v>38.5</v>
      </c>
      <c r="L339" s="3">
        <v>20.522751602388343</v>
      </c>
      <c r="M339" s="3">
        <v>30</v>
      </c>
      <c r="N339" s="3">
        <v>0.89566904267089797</v>
      </c>
      <c r="O339" s="3">
        <v>0.31960939999999999</v>
      </c>
      <c r="P339" s="3">
        <v>6.7332537431752805E-4</v>
      </c>
      <c r="Q339" s="3">
        <f t="shared" si="10"/>
        <v>12304.9619</v>
      </c>
      <c r="R339" s="3">
        <f t="shared" si="11"/>
        <v>6559.2643259883771</v>
      </c>
      <c r="S339" s="2" t="s">
        <v>49</v>
      </c>
      <c r="T339" s="2" t="s">
        <v>45</v>
      </c>
    </row>
    <row r="340" spans="1:20" x14ac:dyDescent="0.2">
      <c r="A340" s="2" t="s">
        <v>3</v>
      </c>
      <c r="B340" s="2" t="s">
        <v>45</v>
      </c>
      <c r="C340" s="2" t="s">
        <v>54</v>
      </c>
      <c r="D340" s="3">
        <v>440</v>
      </c>
      <c r="E340" s="3">
        <v>169</v>
      </c>
      <c r="F340" s="2" t="s">
        <v>43</v>
      </c>
      <c r="G340" s="3">
        <v>4.4726666666666672E-2</v>
      </c>
      <c r="H340" s="3">
        <v>3.5798760996560881E-2</v>
      </c>
      <c r="I340" s="3">
        <v>30</v>
      </c>
      <c r="J340" s="3">
        <v>6.1543066804122812E-3</v>
      </c>
      <c r="K340" s="3">
        <v>22.3</v>
      </c>
      <c r="L340" s="3">
        <v>24.211773995310633</v>
      </c>
      <c r="M340" s="3">
        <v>30</v>
      </c>
      <c r="N340" s="3">
        <v>0.89566904267089797</v>
      </c>
      <c r="O340" s="3">
        <v>0.36773440000000002</v>
      </c>
      <c r="P340" s="3">
        <v>7.6298348393748704E-4</v>
      </c>
      <c r="Q340" s="3">
        <f t="shared" si="10"/>
        <v>8200.4771199999996</v>
      </c>
      <c r="R340" s="3">
        <f t="shared" si="11"/>
        <v>8903.5021831011582</v>
      </c>
      <c r="S340" s="2" t="s">
        <v>49</v>
      </c>
      <c r="T340" s="2" t="s">
        <v>45</v>
      </c>
    </row>
    <row r="341" spans="1:20" x14ac:dyDescent="0.2">
      <c r="A341" s="2" t="s">
        <v>4</v>
      </c>
      <c r="B341" s="2" t="s">
        <v>45</v>
      </c>
      <c r="C341" s="2" t="s">
        <v>53</v>
      </c>
      <c r="D341" s="3">
        <v>440</v>
      </c>
      <c r="E341" s="3">
        <v>169</v>
      </c>
      <c r="F341" s="2" t="s">
        <v>43</v>
      </c>
      <c r="G341" s="3">
        <v>4.9268965517241387E-2</v>
      </c>
      <c r="H341" s="3">
        <v>3.3033735143797094E-2</v>
      </c>
      <c r="I341" s="3">
        <v>30</v>
      </c>
      <c r="J341" s="3">
        <v>6.1543066804122812E-3</v>
      </c>
      <c r="K341" s="3">
        <v>9.1333333333333329</v>
      </c>
      <c r="L341" s="3">
        <v>12.651042996088858</v>
      </c>
      <c r="M341" s="3">
        <v>30</v>
      </c>
      <c r="N341" s="3">
        <v>0.89566904267089797</v>
      </c>
      <c r="O341" s="3">
        <v>0.31823439999999997</v>
      </c>
      <c r="P341" s="3">
        <v>6.7285884213166001E-4</v>
      </c>
      <c r="Q341" s="3">
        <f t="shared" si="10"/>
        <v>2906.5408533333325</v>
      </c>
      <c r="R341" s="3">
        <f t="shared" si="11"/>
        <v>4025.9970772345396</v>
      </c>
      <c r="S341" s="2" t="s">
        <v>49</v>
      </c>
      <c r="T341" s="2" t="s">
        <v>45</v>
      </c>
    </row>
    <row r="342" spans="1:20" x14ac:dyDescent="0.2">
      <c r="A342" s="2" t="s">
        <v>5</v>
      </c>
      <c r="B342" s="2" t="s">
        <v>51</v>
      </c>
      <c r="C342" s="2" t="s">
        <v>53</v>
      </c>
      <c r="D342" s="3">
        <v>459</v>
      </c>
      <c r="E342" s="3">
        <v>169</v>
      </c>
      <c r="F342" s="2" t="s">
        <v>43</v>
      </c>
      <c r="G342" s="3">
        <v>4.3483999999999995E-2</v>
      </c>
      <c r="H342" s="3">
        <v>3.400138444240175E-2</v>
      </c>
      <c r="I342" s="3">
        <v>30</v>
      </c>
      <c r="J342" s="3">
        <v>6.1543066804122812E-3</v>
      </c>
      <c r="K342" s="3">
        <v>28.766666666666666</v>
      </c>
      <c r="L342" s="3">
        <v>13.778445324330155</v>
      </c>
      <c r="M342" s="3">
        <v>30</v>
      </c>
      <c r="N342" s="3">
        <v>0.89566904267089797</v>
      </c>
      <c r="O342" s="3">
        <v>0.31474999999999997</v>
      </c>
      <c r="P342" s="3">
        <v>6.5215902003046896E-4</v>
      </c>
      <c r="Q342" s="3">
        <f t="shared" si="10"/>
        <v>9054.3083333333325</v>
      </c>
      <c r="R342" s="3">
        <f t="shared" si="11"/>
        <v>4336.7656658329161</v>
      </c>
      <c r="S342" s="2" t="s">
        <v>49</v>
      </c>
      <c r="T342" s="2" t="s">
        <v>45</v>
      </c>
    </row>
    <row r="343" spans="1:20" x14ac:dyDescent="0.2">
      <c r="A343" s="2" t="s">
        <v>6</v>
      </c>
      <c r="B343" s="2" t="s">
        <v>45</v>
      </c>
      <c r="C343" s="2" t="s">
        <v>54</v>
      </c>
      <c r="D343" s="3">
        <v>446</v>
      </c>
      <c r="E343" s="3">
        <v>169</v>
      </c>
      <c r="F343" s="2" t="s">
        <v>43</v>
      </c>
      <c r="G343" s="3">
        <v>3.3127272727272727E-2</v>
      </c>
      <c r="H343" s="3">
        <v>3.8006484875110241E-2</v>
      </c>
      <c r="I343" s="3">
        <v>30</v>
      </c>
      <c r="J343" s="3">
        <v>6.1543066804122812E-3</v>
      </c>
      <c r="K343" s="3">
        <v>31.3</v>
      </c>
      <c r="L343" s="3">
        <v>26.94952071311597</v>
      </c>
      <c r="M343" s="3">
        <v>30</v>
      </c>
      <c r="N343" s="3">
        <v>0.89566904267089797</v>
      </c>
      <c r="O343" s="3">
        <v>0.32498440000000001</v>
      </c>
      <c r="P343" s="3">
        <v>6.8034135097994703E-4</v>
      </c>
      <c r="Q343" s="3">
        <f t="shared" si="10"/>
        <v>10172.01172</v>
      </c>
      <c r="R343" s="3">
        <f t="shared" si="11"/>
        <v>8758.173819239566</v>
      </c>
      <c r="S343" s="2" t="s">
        <v>49</v>
      </c>
      <c r="T343" s="2" t="s">
        <v>45</v>
      </c>
    </row>
    <row r="344" spans="1:20" x14ac:dyDescent="0.2">
      <c r="A344" s="2" t="s">
        <v>7</v>
      </c>
      <c r="B344" s="2" t="s">
        <v>51</v>
      </c>
      <c r="C344" s="2" t="s">
        <v>53</v>
      </c>
      <c r="D344" s="3">
        <v>416</v>
      </c>
      <c r="E344" s="3">
        <v>169</v>
      </c>
      <c r="F344" s="2" t="s">
        <v>43</v>
      </c>
      <c r="G344" s="3">
        <v>0.12886666666666666</v>
      </c>
      <c r="H344" s="3">
        <v>3.4577124743904827E-2</v>
      </c>
      <c r="I344" s="3">
        <v>30</v>
      </c>
      <c r="J344" s="3">
        <v>6.1543066804122812E-3</v>
      </c>
      <c r="K344" s="3">
        <v>43.6</v>
      </c>
      <c r="L344" s="3">
        <v>19.719026345131748</v>
      </c>
      <c r="M344" s="3">
        <v>30</v>
      </c>
      <c r="N344" s="3">
        <v>0.89566904267089797</v>
      </c>
      <c r="O344" s="3">
        <v>0.29515629999999998</v>
      </c>
      <c r="P344" s="3">
        <v>5.9945545039755295E-4</v>
      </c>
      <c r="Q344" s="3">
        <f t="shared" si="10"/>
        <v>12868.814679999999</v>
      </c>
      <c r="R344" s="3">
        <f t="shared" si="11"/>
        <v>5820.1948556316092</v>
      </c>
      <c r="S344" s="2" t="s">
        <v>49</v>
      </c>
      <c r="T344" s="2" t="s">
        <v>46</v>
      </c>
    </row>
    <row r="345" spans="1:20" x14ac:dyDescent="0.2">
      <c r="A345" s="2" t="s">
        <v>8</v>
      </c>
      <c r="B345" s="2" t="s">
        <v>45</v>
      </c>
      <c r="C345" s="2" t="s">
        <v>54</v>
      </c>
      <c r="D345" s="3">
        <v>494</v>
      </c>
      <c r="E345" s="3">
        <v>169</v>
      </c>
      <c r="F345" s="2" t="s">
        <v>43</v>
      </c>
      <c r="G345" s="3">
        <v>7.8307692307692297E-3</v>
      </c>
      <c r="H345" s="3">
        <v>1.5125749040086201E-2</v>
      </c>
      <c r="I345" s="3">
        <v>30</v>
      </c>
      <c r="J345" s="3">
        <v>6.1543066804122812E-3</v>
      </c>
      <c r="K345" s="3">
        <v>20.033333333333335</v>
      </c>
      <c r="L345" s="3">
        <v>17.357963270179162</v>
      </c>
      <c r="M345" s="3">
        <v>30</v>
      </c>
      <c r="N345" s="3">
        <v>0.89566904267089797</v>
      </c>
      <c r="O345" s="3">
        <v>0.33282810000000002</v>
      </c>
      <c r="P345" s="3">
        <v>6.8935571329744097E-4</v>
      </c>
      <c r="Q345" s="3">
        <f t="shared" si="10"/>
        <v>6667.6562700000013</v>
      </c>
      <c r="R345" s="3">
        <f t="shared" si="11"/>
        <v>5777.2179350835177</v>
      </c>
      <c r="S345" s="2" t="s">
        <v>49</v>
      </c>
      <c r="T345" s="2" t="s">
        <v>45</v>
      </c>
    </row>
    <row r="346" spans="1:20" x14ac:dyDescent="0.2">
      <c r="A346" s="2" t="s">
        <v>9</v>
      </c>
      <c r="B346" s="2" t="s">
        <v>51</v>
      </c>
      <c r="C346" s="2" t="s">
        <v>53</v>
      </c>
      <c r="D346" s="3">
        <v>480</v>
      </c>
      <c r="E346" s="3">
        <v>169</v>
      </c>
      <c r="F346" s="2" t="s">
        <v>43</v>
      </c>
      <c r="G346" s="3">
        <v>4.3209999999999998E-2</v>
      </c>
      <c r="H346" s="3">
        <v>2.9224149260500296E-2</v>
      </c>
      <c r="I346" s="3">
        <v>30</v>
      </c>
      <c r="J346" s="3">
        <v>6.1543066804122812E-3</v>
      </c>
      <c r="K346" s="3">
        <v>53.8</v>
      </c>
      <c r="L346" s="3">
        <v>19.177069640588993</v>
      </c>
      <c r="M346" s="3">
        <v>30</v>
      </c>
      <c r="N346" s="3">
        <v>0.89566904267089797</v>
      </c>
      <c r="O346" s="3">
        <v>0.26957809999999999</v>
      </c>
      <c r="P346" s="3">
        <v>5.6706360200058201E-4</v>
      </c>
      <c r="Q346" s="3">
        <f t="shared" si="10"/>
        <v>14503.30178</v>
      </c>
      <c r="R346" s="3">
        <f t="shared" si="11"/>
        <v>5169.7179972776639</v>
      </c>
      <c r="S346" s="2" t="s">
        <v>49</v>
      </c>
      <c r="T346" s="2" t="s">
        <v>45</v>
      </c>
    </row>
    <row r="347" spans="1:20" x14ac:dyDescent="0.2">
      <c r="A347" s="2" t="s">
        <v>10</v>
      </c>
      <c r="B347" s="2" t="s">
        <v>45</v>
      </c>
      <c r="C347" s="2" t="s">
        <v>54</v>
      </c>
      <c r="D347" s="3">
        <v>480</v>
      </c>
      <c r="E347" s="3">
        <v>169</v>
      </c>
      <c r="F347" s="2" t="s">
        <v>43</v>
      </c>
      <c r="G347" s="3">
        <v>2.78125E-2</v>
      </c>
      <c r="H347" s="3">
        <v>2.9751047775666655E-2</v>
      </c>
      <c r="I347" s="3">
        <v>30</v>
      </c>
      <c r="J347" s="3">
        <v>6.1543066804122812E-3</v>
      </c>
      <c r="K347" s="3">
        <v>19.100000000000001</v>
      </c>
      <c r="L347" s="3">
        <v>12.437443467208205</v>
      </c>
      <c r="M347" s="3">
        <v>30</v>
      </c>
      <c r="N347" s="3">
        <v>0.89566904267089797</v>
      </c>
      <c r="O347" s="3">
        <v>0.31395309999999998</v>
      </c>
      <c r="P347" s="3">
        <v>6.8065102369132299E-4</v>
      </c>
      <c r="Q347" s="3">
        <f t="shared" si="10"/>
        <v>5996.5042100000001</v>
      </c>
      <c r="R347" s="3">
        <f t="shared" si="11"/>
        <v>3904.773932604764</v>
      </c>
      <c r="S347" s="2" t="s">
        <v>49</v>
      </c>
      <c r="T347" s="2" t="s">
        <v>45</v>
      </c>
    </row>
    <row r="348" spans="1:20" x14ac:dyDescent="0.2">
      <c r="A348" s="2" t="s">
        <v>11</v>
      </c>
      <c r="B348" s="2" t="s">
        <v>45</v>
      </c>
      <c r="C348" s="2" t="s">
        <v>53</v>
      </c>
      <c r="D348" s="3">
        <v>480</v>
      </c>
      <c r="E348" s="3">
        <v>169</v>
      </c>
      <c r="F348" s="2" t="s">
        <v>43</v>
      </c>
      <c r="G348" s="3">
        <v>6.3563333333333333E-2</v>
      </c>
      <c r="H348" s="3">
        <v>3.3509923737437677E-2</v>
      </c>
      <c r="I348" s="3">
        <v>30</v>
      </c>
      <c r="J348" s="3">
        <v>6.1543066804122812E-3</v>
      </c>
      <c r="K348" s="3">
        <v>42.8</v>
      </c>
      <c r="L348" s="3">
        <v>21.373503846273465</v>
      </c>
      <c r="M348" s="3">
        <v>30</v>
      </c>
      <c r="N348" s="3">
        <v>0.89566904267089797</v>
      </c>
      <c r="O348" s="3">
        <v>0.2900625</v>
      </c>
      <c r="P348" s="3">
        <v>6.2664940537164701E-4</v>
      </c>
      <c r="Q348" s="3">
        <f t="shared" si="10"/>
        <v>12414.674999999999</v>
      </c>
      <c r="R348" s="3">
        <f t="shared" si="11"/>
        <v>6199.6519594096972</v>
      </c>
      <c r="S348" s="2" t="s">
        <v>49</v>
      </c>
      <c r="T348" s="2" t="s">
        <v>45</v>
      </c>
    </row>
    <row r="349" spans="1:20" x14ac:dyDescent="0.2">
      <c r="A349" s="2" t="s">
        <v>12</v>
      </c>
      <c r="B349" s="2" t="s">
        <v>51</v>
      </c>
      <c r="C349" s="2" t="s">
        <v>54</v>
      </c>
      <c r="D349" s="3">
        <v>416</v>
      </c>
      <c r="E349" s="3">
        <v>169</v>
      </c>
      <c r="F349" s="2" t="s">
        <v>43</v>
      </c>
      <c r="G349" s="3">
        <v>2.9873333333333332E-2</v>
      </c>
      <c r="H349" s="3">
        <v>2.8643998013933428E-2</v>
      </c>
      <c r="I349" s="3">
        <v>30</v>
      </c>
      <c r="J349" s="3">
        <v>6.1543066804122812E-3</v>
      </c>
      <c r="K349" s="3">
        <v>70.033333333333331</v>
      </c>
      <c r="L349" s="3">
        <v>25.417163929561895</v>
      </c>
      <c r="M349" s="3">
        <v>30</v>
      </c>
      <c r="N349" s="3">
        <v>0.89566904267089797</v>
      </c>
      <c r="O349" s="3">
        <v>0.32178129999999999</v>
      </c>
      <c r="P349" s="3">
        <v>6.3802511610001195E-4</v>
      </c>
      <c r="Q349" s="3">
        <f t="shared" si="10"/>
        <v>22535.417043333331</v>
      </c>
      <c r="R349" s="3">
        <f t="shared" si="11"/>
        <v>8178.7680515675347</v>
      </c>
      <c r="S349" s="2" t="s">
        <v>49</v>
      </c>
      <c r="T349" s="2" t="s">
        <v>46</v>
      </c>
    </row>
    <row r="350" spans="1:20" x14ac:dyDescent="0.2">
      <c r="A350" s="2" t="s">
        <v>13</v>
      </c>
      <c r="B350" s="2" t="s">
        <v>45</v>
      </c>
      <c r="C350" s="2" t="s">
        <v>54</v>
      </c>
      <c r="D350" s="3">
        <v>416</v>
      </c>
      <c r="E350" s="3">
        <v>169</v>
      </c>
      <c r="F350" s="2" t="s">
        <v>43</v>
      </c>
      <c r="G350" s="3">
        <v>3.0206666666666663E-2</v>
      </c>
      <c r="H350" s="3">
        <v>2.9313727538854934E-2</v>
      </c>
      <c r="I350" s="3">
        <v>30</v>
      </c>
      <c r="J350" s="3">
        <v>6.1543066804122812E-3</v>
      </c>
      <c r="K350" s="3">
        <v>61.06666666666667</v>
      </c>
      <c r="L350" s="3">
        <v>22.797563222609757</v>
      </c>
      <c r="M350" s="3">
        <v>30</v>
      </c>
      <c r="N350" s="3">
        <v>0.89566904267089797</v>
      </c>
      <c r="O350" s="3">
        <v>0.35878130000000003</v>
      </c>
      <c r="P350" s="3">
        <v>7.0550407072027905E-4</v>
      </c>
      <c r="Q350" s="3">
        <f t="shared" si="10"/>
        <v>21909.578053333338</v>
      </c>
      <c r="R350" s="3">
        <f t="shared" si="11"/>
        <v>8179.3393698401178</v>
      </c>
      <c r="S350" s="2" t="s">
        <v>49</v>
      </c>
      <c r="T350" s="2" t="s">
        <v>46</v>
      </c>
    </row>
    <row r="351" spans="1:20" x14ac:dyDescent="0.2">
      <c r="A351" s="2" t="s">
        <v>14</v>
      </c>
      <c r="B351" s="2" t="s">
        <v>45</v>
      </c>
      <c r="C351" s="2" t="s">
        <v>53</v>
      </c>
      <c r="D351" s="3">
        <v>416</v>
      </c>
      <c r="E351" s="3">
        <v>169</v>
      </c>
      <c r="F351" s="2" t="s">
        <v>43</v>
      </c>
      <c r="G351" s="3">
        <v>0.10953999999999998</v>
      </c>
      <c r="H351" s="3">
        <v>3.9346356036275246E-2</v>
      </c>
      <c r="I351" s="3">
        <v>30</v>
      </c>
      <c r="J351" s="3">
        <v>6.1543066804122812E-3</v>
      </c>
      <c r="K351" s="3">
        <v>41.533333333333331</v>
      </c>
      <c r="L351" s="3">
        <v>26.247200908964665</v>
      </c>
      <c r="M351" s="3">
        <v>30</v>
      </c>
      <c r="N351" s="3">
        <v>0.89566904267089797</v>
      </c>
      <c r="O351" s="3">
        <v>0.30646879999999999</v>
      </c>
      <c r="P351" s="3">
        <v>6.2493445354355596E-4</v>
      </c>
      <c r="Q351" s="3">
        <f t="shared" si="10"/>
        <v>12728.670826666665</v>
      </c>
      <c r="R351" s="3">
        <f t="shared" si="11"/>
        <v>8043.9481659293097</v>
      </c>
      <c r="S351" s="2" t="s">
        <v>49</v>
      </c>
      <c r="T351" s="2" t="s">
        <v>46</v>
      </c>
    </row>
    <row r="352" spans="1:20" x14ac:dyDescent="0.2">
      <c r="A352" s="2" t="s">
        <v>15</v>
      </c>
      <c r="B352" s="2" t="s">
        <v>51</v>
      </c>
      <c r="C352" s="2" t="s">
        <v>53</v>
      </c>
      <c r="D352" s="3">
        <v>432</v>
      </c>
      <c r="E352" s="3">
        <v>169</v>
      </c>
      <c r="F352" s="2" t="s">
        <v>43</v>
      </c>
      <c r="G352" s="3">
        <v>0.11728666666666666</v>
      </c>
      <c r="H352" s="3">
        <v>4.2147326790148334E-2</v>
      </c>
      <c r="I352" s="3">
        <v>30</v>
      </c>
      <c r="J352" s="3">
        <v>6.1543066804122812E-3</v>
      </c>
      <c r="K352" s="3">
        <v>37.866666666666667</v>
      </c>
      <c r="L352" s="3">
        <v>26.311890003486173</v>
      </c>
      <c r="M352" s="3">
        <v>30</v>
      </c>
      <c r="N352" s="3">
        <v>0.89566904267089797</v>
      </c>
      <c r="O352" s="3">
        <v>0.28231250000000002</v>
      </c>
      <c r="P352" s="3">
        <v>5.6855676586968105E-4</v>
      </c>
      <c r="Q352" s="3">
        <f t="shared" si="10"/>
        <v>10690.233333333334</v>
      </c>
      <c r="R352" s="3">
        <f t="shared" si="11"/>
        <v>7428.1754466091907</v>
      </c>
      <c r="S352" s="2" t="s">
        <v>49</v>
      </c>
      <c r="T352" s="2" t="s">
        <v>45</v>
      </c>
    </row>
    <row r="353" spans="1:20" x14ac:dyDescent="0.2">
      <c r="A353" s="2" t="s">
        <v>16</v>
      </c>
      <c r="B353" s="2" t="s">
        <v>45</v>
      </c>
      <c r="C353" s="2" t="s">
        <v>53</v>
      </c>
      <c r="D353" s="3">
        <v>432</v>
      </c>
      <c r="E353" s="3">
        <v>169</v>
      </c>
      <c r="F353" s="2" t="s">
        <v>43</v>
      </c>
      <c r="G353" s="3">
        <v>9.6486666666666679E-2</v>
      </c>
      <c r="H353" s="3">
        <v>4.3310997320413776E-2</v>
      </c>
      <c r="I353" s="3">
        <v>30</v>
      </c>
      <c r="J353" s="3">
        <v>6.1543066804122812E-3</v>
      </c>
      <c r="K353" s="3">
        <v>59.9</v>
      </c>
      <c r="L353" s="3">
        <v>21.9124774196499</v>
      </c>
      <c r="M353" s="3">
        <v>30</v>
      </c>
      <c r="N353" s="3">
        <v>0.89566904267089797</v>
      </c>
      <c r="O353" s="3">
        <v>0.30840630000000002</v>
      </c>
      <c r="P353" s="3">
        <v>6.5664864316992999E-4</v>
      </c>
      <c r="Q353" s="3">
        <f t="shared" si="10"/>
        <v>18473.537370000002</v>
      </c>
      <c r="R353" s="3">
        <f t="shared" si="11"/>
        <v>6757.9460848277731</v>
      </c>
      <c r="S353" s="2" t="s">
        <v>49</v>
      </c>
      <c r="T353" s="2" t="s">
        <v>45</v>
      </c>
    </row>
  </sheetData>
  <autoFilter ref="A1:T353" xr:uid="{00000000-0001-0000-0000-000000000000}"/>
  <sortState xmlns:xlrd2="http://schemas.microsoft.com/office/spreadsheetml/2017/richdata2" ref="A2:T353">
    <sortCondition ref="E1:E3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Archive_NeuN_Abeta_Volume_Dec19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Kathryn Hornburg</cp:lastModifiedBy>
  <dcterms:created xsi:type="dcterms:W3CDTF">2025-10-16T13:59:46Z</dcterms:created>
  <dcterms:modified xsi:type="dcterms:W3CDTF">2025-10-16T13:59:46Z</dcterms:modified>
</cp:coreProperties>
</file>